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E:\Ortak\"/>
    </mc:Choice>
  </mc:AlternateContent>
  <bookViews>
    <workbookView xWindow="240" yWindow="105" windowWidth="14805" windowHeight="8010" tabRatio="629" activeTab="1"/>
  </bookViews>
  <sheets>
    <sheet name="GRUP" sheetId="3" r:id="rId1"/>
    <sheet name="1" sheetId="1" r:id="rId2"/>
    <sheet name="2" sheetId="46" r:id="rId3"/>
    <sheet name="3" sheetId="47" r:id="rId4"/>
    <sheet name="4" sheetId="48" r:id="rId5"/>
    <sheet name="5" sheetId="49" r:id="rId6"/>
    <sheet name="6" sheetId="50" r:id="rId7"/>
    <sheet name="7" sheetId="51" r:id="rId8"/>
    <sheet name="8" sheetId="52" r:id="rId9"/>
    <sheet name="9" sheetId="53" r:id="rId10"/>
    <sheet name="10" sheetId="54" r:id="rId11"/>
    <sheet name="11" sheetId="55" r:id="rId12"/>
    <sheet name="12" sheetId="56" r:id="rId13"/>
    <sheet name="13" sheetId="57" r:id="rId14"/>
    <sheet name="14" sheetId="58" r:id="rId15"/>
    <sheet name="15" sheetId="59" r:id="rId16"/>
    <sheet name="16" sheetId="60" r:id="rId17"/>
    <sheet name="17" sheetId="61" r:id="rId18"/>
    <sheet name="18" sheetId="62" r:id="rId19"/>
    <sheet name="19" sheetId="63" r:id="rId20"/>
    <sheet name="20" sheetId="64" r:id="rId21"/>
    <sheet name="21" sheetId="65" r:id="rId22"/>
  </sheets>
  <functionGroups builtInGroupCount="18"/>
  <definedNames>
    <definedName name="_xlnm.Print_Area" localSheetId="1">'1'!$A$1:$AT$24</definedName>
    <definedName name="_xlnm.Print_Area" localSheetId="10">'10'!$A$1:$AT$24</definedName>
    <definedName name="_xlnm.Print_Area" localSheetId="11">'11'!$A$1:$AT$24</definedName>
    <definedName name="_xlnm.Print_Area" localSheetId="12">'12'!$A$1:$AT$24</definedName>
    <definedName name="_xlnm.Print_Area" localSheetId="13">'13'!$A$1:$AT$24</definedName>
    <definedName name="_xlnm.Print_Area" localSheetId="14">'14'!$A$1:$AT$24</definedName>
    <definedName name="_xlnm.Print_Area" localSheetId="15">'15'!$A$1:$AT$24</definedName>
    <definedName name="_xlnm.Print_Area" localSheetId="16">'16'!$A$1:$AT$24</definedName>
    <definedName name="_xlnm.Print_Area" localSheetId="17">'17'!$A$1:$AT$24</definedName>
    <definedName name="_xlnm.Print_Area" localSheetId="18">'18'!$A$1:$AT$24</definedName>
    <definedName name="_xlnm.Print_Area" localSheetId="19">'19'!$A$1:$AT$24</definedName>
    <definedName name="_xlnm.Print_Area" localSheetId="2">'2'!$A$1:$AT$24</definedName>
    <definedName name="_xlnm.Print_Area" localSheetId="20">'20'!$A$1:$AT$24</definedName>
    <definedName name="_xlnm.Print_Area" localSheetId="21">'21'!$A$1:$AT$24</definedName>
    <definedName name="_xlnm.Print_Area" localSheetId="3">'3'!$A$1:$AT$24</definedName>
    <definedName name="_xlnm.Print_Area" localSheetId="4">'4'!$A$1:$AT$24</definedName>
    <definedName name="_xlnm.Print_Area" localSheetId="5">'5'!$A$1:$AT$24</definedName>
    <definedName name="_xlnm.Print_Area" localSheetId="6">'6'!$A$1:$AT$24</definedName>
    <definedName name="_xlnm.Print_Area" localSheetId="7">'7'!$A$1:$AT$24</definedName>
    <definedName name="_xlnm.Print_Area" localSheetId="8">'8'!$A$1:$AT$24</definedName>
    <definedName name="_xlnm.Print_Area" localSheetId="9">'9'!$A$1:$AT$24</definedName>
    <definedName name="_xlnm.Print_Area" localSheetId="0">GRUP!$A$1:$V$35</definedName>
  </definedNames>
  <calcPr calcId="152511"/>
</workbook>
</file>

<file path=xl/calcChain.xml><?xml version="1.0" encoding="utf-8"?>
<calcChain xmlns="http://schemas.openxmlformats.org/spreadsheetml/2006/main">
  <c r="C18" i="65" l="1"/>
  <c r="B13" i="65"/>
  <c r="AP6" i="65"/>
  <c r="AP7" i="65" s="1"/>
  <c r="AP8" i="65" s="1"/>
  <c r="AP9" i="65" s="1"/>
  <c r="AP10" i="65" s="1"/>
  <c r="AP11" i="65" s="1"/>
  <c r="AP12" i="65" s="1"/>
  <c r="AP13" i="65" s="1"/>
  <c r="AP14" i="65" s="1"/>
  <c r="AP15" i="65" s="1"/>
  <c r="AL6" i="65"/>
  <c r="C18" i="64"/>
  <c r="B13" i="64"/>
  <c r="AH11" i="64"/>
  <c r="AH12" i="64" s="1"/>
  <c r="AH13" i="64" s="1"/>
  <c r="AH14" i="64" s="1"/>
  <c r="AH15" i="64" s="1"/>
  <c r="AD7" i="64"/>
  <c r="AD8" i="64" s="1"/>
  <c r="AD9" i="64" s="1"/>
  <c r="AD10" i="64" s="1"/>
  <c r="AD11" i="64" s="1"/>
  <c r="AD12" i="64" s="1"/>
  <c r="AD13" i="64" s="1"/>
  <c r="AD14" i="64" s="1"/>
  <c r="AD15" i="64" s="1"/>
  <c r="AP6" i="64"/>
  <c r="AP7" i="64" s="1"/>
  <c r="AP8" i="64" s="1"/>
  <c r="AP9" i="64" s="1"/>
  <c r="AP10" i="64" s="1"/>
  <c r="AP11" i="64" s="1"/>
  <c r="AP12" i="64" s="1"/>
  <c r="AP13" i="64" s="1"/>
  <c r="AP14" i="64" s="1"/>
  <c r="AP15" i="64" s="1"/>
  <c r="AL6" i="64"/>
  <c r="AL7" i="64" s="1"/>
  <c r="AL8" i="64" s="1"/>
  <c r="AL9" i="64" s="1"/>
  <c r="AL10" i="64" s="1"/>
  <c r="AL11" i="64" s="1"/>
  <c r="AL12" i="64" s="1"/>
  <c r="AL13" i="64" s="1"/>
  <c r="AL14" i="64" s="1"/>
  <c r="AL15" i="64" s="1"/>
  <c r="AH6" i="64"/>
  <c r="AH7" i="64" s="1"/>
  <c r="AH8" i="64" s="1"/>
  <c r="AH9" i="64" s="1"/>
  <c r="AH10" i="64" s="1"/>
  <c r="AD6" i="64"/>
  <c r="Z6" i="64"/>
  <c r="Z7" i="64" s="1"/>
  <c r="Z8" i="64" s="1"/>
  <c r="Z9" i="64" s="1"/>
  <c r="Z10" i="64" s="1"/>
  <c r="Z11" i="64" s="1"/>
  <c r="Z12" i="64" s="1"/>
  <c r="Z13" i="64" s="1"/>
  <c r="Z14" i="64" s="1"/>
  <c r="Z15" i="64" s="1"/>
  <c r="V6" i="64"/>
  <c r="V7" i="64" s="1"/>
  <c r="V8" i="64" s="1"/>
  <c r="V9" i="64" s="1"/>
  <c r="V10" i="64" s="1"/>
  <c r="V11" i="64" s="1"/>
  <c r="V12" i="64" s="1"/>
  <c r="V13" i="64" s="1"/>
  <c r="V14" i="64" s="1"/>
  <c r="V15" i="64" s="1"/>
  <c r="R6" i="64"/>
  <c r="R7" i="64" s="1"/>
  <c r="R8" i="64" s="1"/>
  <c r="R9" i="64" s="1"/>
  <c r="R10" i="64" s="1"/>
  <c r="R11" i="64" s="1"/>
  <c r="R12" i="64" s="1"/>
  <c r="R13" i="64" s="1"/>
  <c r="R14" i="64" s="1"/>
  <c r="R15" i="64" s="1"/>
  <c r="N6" i="64"/>
  <c r="N7" i="64" s="1"/>
  <c r="N8" i="64" s="1"/>
  <c r="N9" i="64" s="1"/>
  <c r="N10" i="64" s="1"/>
  <c r="N11" i="64" s="1"/>
  <c r="N12" i="64" s="1"/>
  <c r="N13" i="64" s="1"/>
  <c r="N14" i="64" s="1"/>
  <c r="N15" i="64" s="1"/>
  <c r="J6" i="64"/>
  <c r="J7" i="64" s="1"/>
  <c r="J8" i="64" s="1"/>
  <c r="J9" i="64" s="1"/>
  <c r="J10" i="64" s="1"/>
  <c r="J11" i="64" s="1"/>
  <c r="J12" i="64" s="1"/>
  <c r="J13" i="64" s="1"/>
  <c r="J14" i="64" s="1"/>
  <c r="J15" i="64" s="1"/>
  <c r="F6" i="64"/>
  <c r="F7" i="64" s="1"/>
  <c r="F8" i="64" s="1"/>
  <c r="F9" i="64" s="1"/>
  <c r="F10" i="64" s="1"/>
  <c r="F11" i="64" s="1"/>
  <c r="F12" i="64" s="1"/>
  <c r="F13" i="64" s="1"/>
  <c r="F14" i="64" s="1"/>
  <c r="F15" i="64" s="1"/>
  <c r="C18" i="63"/>
  <c r="B13" i="63"/>
  <c r="J10" i="63"/>
  <c r="J11" i="63" s="1"/>
  <c r="J12" i="63" s="1"/>
  <c r="J13" i="63" s="1"/>
  <c r="J14" i="63" s="1"/>
  <c r="J15" i="63" s="1"/>
  <c r="AP7" i="63"/>
  <c r="AP8" i="63" s="1"/>
  <c r="AP9" i="63" s="1"/>
  <c r="AP10" i="63" s="1"/>
  <c r="AP11" i="63" s="1"/>
  <c r="AP12" i="63" s="1"/>
  <c r="AP13" i="63" s="1"/>
  <c r="AP14" i="63" s="1"/>
  <c r="AP15" i="63" s="1"/>
  <c r="AL7" i="63"/>
  <c r="AL8" i="63" s="1"/>
  <c r="AL9" i="63" s="1"/>
  <c r="AL10" i="63" s="1"/>
  <c r="AL11" i="63" s="1"/>
  <c r="AL12" i="63" s="1"/>
  <c r="AL13" i="63" s="1"/>
  <c r="AL14" i="63" s="1"/>
  <c r="AL15" i="63" s="1"/>
  <c r="AH7" i="63"/>
  <c r="AH8" i="63" s="1"/>
  <c r="AH9" i="63" s="1"/>
  <c r="AH10" i="63" s="1"/>
  <c r="AH11" i="63" s="1"/>
  <c r="AH12" i="63" s="1"/>
  <c r="AH13" i="63" s="1"/>
  <c r="AH14" i="63" s="1"/>
  <c r="AH15" i="63" s="1"/>
  <c r="AD7" i="63"/>
  <c r="AD8" i="63" s="1"/>
  <c r="AD9" i="63" s="1"/>
  <c r="AD10" i="63" s="1"/>
  <c r="AD11" i="63" s="1"/>
  <c r="AD12" i="63" s="1"/>
  <c r="AD13" i="63" s="1"/>
  <c r="AD14" i="63" s="1"/>
  <c r="AD15" i="63" s="1"/>
  <c r="Z7" i="63"/>
  <c r="Z8" i="63" s="1"/>
  <c r="Z9" i="63" s="1"/>
  <c r="Z10" i="63" s="1"/>
  <c r="Z11" i="63" s="1"/>
  <c r="Z12" i="63" s="1"/>
  <c r="Z13" i="63" s="1"/>
  <c r="Z14" i="63" s="1"/>
  <c r="Z15" i="63" s="1"/>
  <c r="V7" i="63"/>
  <c r="V8" i="63" s="1"/>
  <c r="V9" i="63" s="1"/>
  <c r="V10" i="63" s="1"/>
  <c r="V11" i="63" s="1"/>
  <c r="V12" i="63" s="1"/>
  <c r="V13" i="63" s="1"/>
  <c r="V14" i="63" s="1"/>
  <c r="V15" i="63" s="1"/>
  <c r="R7" i="63"/>
  <c r="R8" i="63" s="1"/>
  <c r="R9" i="63" s="1"/>
  <c r="R10" i="63" s="1"/>
  <c r="R11" i="63" s="1"/>
  <c r="R12" i="63" s="1"/>
  <c r="R13" i="63" s="1"/>
  <c r="R14" i="63" s="1"/>
  <c r="R15" i="63" s="1"/>
  <c r="N7" i="63"/>
  <c r="N8" i="63" s="1"/>
  <c r="N9" i="63" s="1"/>
  <c r="N10" i="63" s="1"/>
  <c r="N11" i="63" s="1"/>
  <c r="N12" i="63" s="1"/>
  <c r="N13" i="63" s="1"/>
  <c r="N14" i="63" s="1"/>
  <c r="N15" i="63" s="1"/>
  <c r="J7" i="63"/>
  <c r="J8" i="63" s="1"/>
  <c r="J9" i="63" s="1"/>
  <c r="F7" i="63"/>
  <c r="F8" i="63" s="1"/>
  <c r="F9" i="63" s="1"/>
  <c r="F10" i="63" s="1"/>
  <c r="F11" i="63" s="1"/>
  <c r="F12" i="63" s="1"/>
  <c r="F13" i="63" s="1"/>
  <c r="F14" i="63" s="1"/>
  <c r="F15" i="63" s="1"/>
  <c r="AP6" i="63"/>
  <c r="AL6" i="63"/>
  <c r="AH6" i="63"/>
  <c r="AD6" i="63"/>
  <c r="Z6" i="63"/>
  <c r="V6" i="63"/>
  <c r="R6" i="63"/>
  <c r="N6" i="63"/>
  <c r="J6" i="63"/>
  <c r="F6" i="63"/>
  <c r="C18" i="62"/>
  <c r="B13" i="62"/>
  <c r="AH8" i="62"/>
  <c r="AH9" i="62" s="1"/>
  <c r="AH10" i="62" s="1"/>
  <c r="AH11" i="62" s="1"/>
  <c r="AH12" i="62" s="1"/>
  <c r="AH13" i="62" s="1"/>
  <c r="AH14" i="62" s="1"/>
  <c r="AH15" i="62" s="1"/>
  <c r="AD8" i="62"/>
  <c r="AD9" i="62" s="1"/>
  <c r="AD10" i="62" s="1"/>
  <c r="AD11" i="62" s="1"/>
  <c r="AD12" i="62" s="1"/>
  <c r="AD13" i="62" s="1"/>
  <c r="AD14" i="62" s="1"/>
  <c r="AD15" i="62" s="1"/>
  <c r="R8" i="62"/>
  <c r="R9" i="62" s="1"/>
  <c r="R10" i="62" s="1"/>
  <c r="R11" i="62" s="1"/>
  <c r="R12" i="62" s="1"/>
  <c r="R13" i="62" s="1"/>
  <c r="R14" i="62" s="1"/>
  <c r="R15" i="62" s="1"/>
  <c r="N8" i="62"/>
  <c r="N9" i="62" s="1"/>
  <c r="N10" i="62" s="1"/>
  <c r="N11" i="62" s="1"/>
  <c r="N12" i="62" s="1"/>
  <c r="N13" i="62" s="1"/>
  <c r="N14" i="62" s="1"/>
  <c r="N15" i="62" s="1"/>
  <c r="AP7" i="62"/>
  <c r="AP8" i="62" s="1"/>
  <c r="AP9" i="62" s="1"/>
  <c r="AP10" i="62" s="1"/>
  <c r="AP11" i="62" s="1"/>
  <c r="AP12" i="62" s="1"/>
  <c r="AP13" i="62" s="1"/>
  <c r="AP14" i="62" s="1"/>
  <c r="AP15" i="62" s="1"/>
  <c r="AL7" i="62"/>
  <c r="AL8" i="62" s="1"/>
  <c r="AL9" i="62" s="1"/>
  <c r="AL10" i="62" s="1"/>
  <c r="AL11" i="62" s="1"/>
  <c r="AL12" i="62" s="1"/>
  <c r="AL13" i="62" s="1"/>
  <c r="AL14" i="62" s="1"/>
  <c r="AL15" i="62" s="1"/>
  <c r="AH7" i="62"/>
  <c r="AD7" i="62"/>
  <c r="Z7" i="62"/>
  <c r="Z8" i="62" s="1"/>
  <c r="Z9" i="62" s="1"/>
  <c r="Z10" i="62" s="1"/>
  <c r="Z11" i="62" s="1"/>
  <c r="Z12" i="62" s="1"/>
  <c r="Z13" i="62" s="1"/>
  <c r="Z14" i="62" s="1"/>
  <c r="Z15" i="62" s="1"/>
  <c r="V7" i="62"/>
  <c r="V8" i="62" s="1"/>
  <c r="V9" i="62" s="1"/>
  <c r="V10" i="62" s="1"/>
  <c r="V11" i="62" s="1"/>
  <c r="V12" i="62" s="1"/>
  <c r="V13" i="62" s="1"/>
  <c r="V14" i="62" s="1"/>
  <c r="V15" i="62" s="1"/>
  <c r="R7" i="62"/>
  <c r="N7" i="62"/>
  <c r="J7" i="62"/>
  <c r="J8" i="62" s="1"/>
  <c r="J9" i="62" s="1"/>
  <c r="J10" i="62" s="1"/>
  <c r="J11" i="62" s="1"/>
  <c r="J12" i="62" s="1"/>
  <c r="J13" i="62" s="1"/>
  <c r="J14" i="62" s="1"/>
  <c r="J15" i="62" s="1"/>
  <c r="F7" i="62"/>
  <c r="F8" i="62" s="1"/>
  <c r="F9" i="62" s="1"/>
  <c r="F10" i="62" s="1"/>
  <c r="F11" i="62" s="1"/>
  <c r="F12" i="62" s="1"/>
  <c r="F13" i="62" s="1"/>
  <c r="F14" i="62" s="1"/>
  <c r="F15" i="62" s="1"/>
  <c r="AP6" i="62"/>
  <c r="AL6" i="62"/>
  <c r="AH6" i="62"/>
  <c r="AD6" i="62"/>
  <c r="Z6" i="62"/>
  <c r="V6" i="62"/>
  <c r="R6" i="62"/>
  <c r="N6" i="62"/>
  <c r="J6" i="62"/>
  <c r="F6" i="62"/>
  <c r="C18" i="61"/>
  <c r="B13" i="61"/>
  <c r="AP7" i="61"/>
  <c r="AP8" i="61" s="1"/>
  <c r="AP9" i="61" s="1"/>
  <c r="AP10" i="61" s="1"/>
  <c r="AP11" i="61" s="1"/>
  <c r="AP12" i="61" s="1"/>
  <c r="AP13" i="61" s="1"/>
  <c r="AP14" i="61" s="1"/>
  <c r="AP15" i="61" s="1"/>
  <c r="AL7" i="61"/>
  <c r="AL8" i="61" s="1"/>
  <c r="AL9" i="61" s="1"/>
  <c r="AL10" i="61" s="1"/>
  <c r="AL11" i="61" s="1"/>
  <c r="AL12" i="61" s="1"/>
  <c r="AL13" i="61" s="1"/>
  <c r="AL14" i="61" s="1"/>
  <c r="AL15" i="61" s="1"/>
  <c r="AH7" i="61"/>
  <c r="AH8" i="61" s="1"/>
  <c r="AH9" i="61" s="1"/>
  <c r="AH10" i="61" s="1"/>
  <c r="AH11" i="61" s="1"/>
  <c r="AH12" i="61" s="1"/>
  <c r="AH13" i="61" s="1"/>
  <c r="AH14" i="61" s="1"/>
  <c r="AH15" i="61" s="1"/>
  <c r="AD7" i="61"/>
  <c r="AD8" i="61" s="1"/>
  <c r="AD9" i="61" s="1"/>
  <c r="AD10" i="61" s="1"/>
  <c r="AD11" i="61" s="1"/>
  <c r="AD12" i="61" s="1"/>
  <c r="AD13" i="61" s="1"/>
  <c r="AD14" i="61" s="1"/>
  <c r="AD15" i="61" s="1"/>
  <c r="Z7" i="61"/>
  <c r="Z8" i="61" s="1"/>
  <c r="Z9" i="61" s="1"/>
  <c r="Z10" i="61" s="1"/>
  <c r="Z11" i="61" s="1"/>
  <c r="Z12" i="61" s="1"/>
  <c r="Z13" i="61" s="1"/>
  <c r="Z14" i="61" s="1"/>
  <c r="Z15" i="61" s="1"/>
  <c r="V7" i="61"/>
  <c r="V8" i="61" s="1"/>
  <c r="V9" i="61" s="1"/>
  <c r="V10" i="61" s="1"/>
  <c r="V11" i="61" s="1"/>
  <c r="V12" i="61" s="1"/>
  <c r="V13" i="61" s="1"/>
  <c r="V14" i="61" s="1"/>
  <c r="V15" i="61" s="1"/>
  <c r="R7" i="61"/>
  <c r="R8" i="61" s="1"/>
  <c r="R9" i="61" s="1"/>
  <c r="R10" i="61" s="1"/>
  <c r="R11" i="61" s="1"/>
  <c r="R12" i="61" s="1"/>
  <c r="R13" i="61" s="1"/>
  <c r="R14" i="61" s="1"/>
  <c r="R15" i="61" s="1"/>
  <c r="N7" i="61"/>
  <c r="N8" i="61" s="1"/>
  <c r="N9" i="61" s="1"/>
  <c r="N10" i="61" s="1"/>
  <c r="N11" i="61" s="1"/>
  <c r="N12" i="61" s="1"/>
  <c r="N13" i="61" s="1"/>
  <c r="N14" i="61" s="1"/>
  <c r="N15" i="61" s="1"/>
  <c r="J7" i="61"/>
  <c r="J8" i="61" s="1"/>
  <c r="J9" i="61" s="1"/>
  <c r="J10" i="61" s="1"/>
  <c r="J11" i="61" s="1"/>
  <c r="J12" i="61" s="1"/>
  <c r="J13" i="61" s="1"/>
  <c r="J14" i="61" s="1"/>
  <c r="J15" i="61" s="1"/>
  <c r="F7" i="61"/>
  <c r="F8" i="61" s="1"/>
  <c r="F9" i="61" s="1"/>
  <c r="F10" i="61" s="1"/>
  <c r="F11" i="61" s="1"/>
  <c r="F12" i="61" s="1"/>
  <c r="F13" i="61" s="1"/>
  <c r="F14" i="61" s="1"/>
  <c r="F15" i="61" s="1"/>
  <c r="AP6" i="61"/>
  <c r="AL6" i="61"/>
  <c r="AH6" i="61"/>
  <c r="AD6" i="61"/>
  <c r="Z6" i="61"/>
  <c r="V6" i="61"/>
  <c r="R6" i="61"/>
  <c r="N6" i="61"/>
  <c r="J6" i="61"/>
  <c r="F6" i="61"/>
  <c r="C18" i="60"/>
  <c r="B13" i="60"/>
  <c r="AP7" i="60"/>
  <c r="AP8" i="60" s="1"/>
  <c r="AP9" i="60" s="1"/>
  <c r="AP10" i="60" s="1"/>
  <c r="AP11" i="60" s="1"/>
  <c r="AP12" i="60" s="1"/>
  <c r="AP13" i="60" s="1"/>
  <c r="AP14" i="60" s="1"/>
  <c r="AP15" i="60" s="1"/>
  <c r="AP6" i="60"/>
  <c r="AL6" i="60"/>
  <c r="AL7" i="60" s="1"/>
  <c r="AL8" i="60" s="1"/>
  <c r="AL9" i="60" s="1"/>
  <c r="AL10" i="60" s="1"/>
  <c r="AL11" i="60" s="1"/>
  <c r="AL12" i="60" s="1"/>
  <c r="AL13" i="60" s="1"/>
  <c r="AL14" i="60" s="1"/>
  <c r="AL15" i="60" s="1"/>
  <c r="AH6" i="60"/>
  <c r="AH7" i="60" s="1"/>
  <c r="AH8" i="60" s="1"/>
  <c r="AH9" i="60" s="1"/>
  <c r="AH10" i="60" s="1"/>
  <c r="AH11" i="60" s="1"/>
  <c r="AH12" i="60" s="1"/>
  <c r="AH13" i="60" s="1"/>
  <c r="AH14" i="60" s="1"/>
  <c r="AH15" i="60" s="1"/>
  <c r="AD6" i="60"/>
  <c r="AD7" i="60" s="1"/>
  <c r="AD8" i="60" s="1"/>
  <c r="AD9" i="60" s="1"/>
  <c r="AD10" i="60" s="1"/>
  <c r="AD11" i="60" s="1"/>
  <c r="AD12" i="60" s="1"/>
  <c r="AD13" i="60" s="1"/>
  <c r="AD14" i="60" s="1"/>
  <c r="AD15" i="60" s="1"/>
  <c r="Z6" i="60"/>
  <c r="Z7" i="60" s="1"/>
  <c r="Z8" i="60" s="1"/>
  <c r="Z9" i="60" s="1"/>
  <c r="Z10" i="60" s="1"/>
  <c r="Z11" i="60" s="1"/>
  <c r="Z12" i="60" s="1"/>
  <c r="Z13" i="60" s="1"/>
  <c r="Z14" i="60" s="1"/>
  <c r="Z15" i="60" s="1"/>
  <c r="V6" i="60"/>
  <c r="V7" i="60" s="1"/>
  <c r="V8" i="60" s="1"/>
  <c r="V9" i="60" s="1"/>
  <c r="V10" i="60" s="1"/>
  <c r="V11" i="60" s="1"/>
  <c r="V12" i="60" s="1"/>
  <c r="V13" i="60" s="1"/>
  <c r="V14" i="60" s="1"/>
  <c r="V15" i="60" s="1"/>
  <c r="R6" i="60"/>
  <c r="R7" i="60" s="1"/>
  <c r="R8" i="60" s="1"/>
  <c r="R9" i="60" s="1"/>
  <c r="R10" i="60" s="1"/>
  <c r="R11" i="60" s="1"/>
  <c r="R12" i="60" s="1"/>
  <c r="R13" i="60" s="1"/>
  <c r="R14" i="60" s="1"/>
  <c r="R15" i="60" s="1"/>
  <c r="N6" i="60"/>
  <c r="N7" i="60" s="1"/>
  <c r="N8" i="60" s="1"/>
  <c r="N9" i="60" s="1"/>
  <c r="N10" i="60" s="1"/>
  <c r="N11" i="60" s="1"/>
  <c r="N12" i="60" s="1"/>
  <c r="N13" i="60" s="1"/>
  <c r="N14" i="60" s="1"/>
  <c r="N15" i="60" s="1"/>
  <c r="J6" i="60"/>
  <c r="J7" i="60" s="1"/>
  <c r="J8" i="60" s="1"/>
  <c r="J9" i="60" s="1"/>
  <c r="J10" i="60" s="1"/>
  <c r="J11" i="60" s="1"/>
  <c r="J12" i="60" s="1"/>
  <c r="J13" i="60" s="1"/>
  <c r="J14" i="60" s="1"/>
  <c r="J15" i="60" s="1"/>
  <c r="F6" i="60"/>
  <c r="F7" i="60" s="1"/>
  <c r="F8" i="60" s="1"/>
  <c r="F9" i="60" s="1"/>
  <c r="F10" i="60" s="1"/>
  <c r="F11" i="60" s="1"/>
  <c r="F12" i="60" s="1"/>
  <c r="F13" i="60" s="1"/>
  <c r="F14" i="60" s="1"/>
  <c r="F15" i="60" s="1"/>
  <c r="C18" i="59"/>
  <c r="AL15" i="59"/>
  <c r="B13" i="59"/>
  <c r="J8" i="59"/>
  <c r="J9" i="59" s="1"/>
  <c r="J10" i="59" s="1"/>
  <c r="J11" i="59" s="1"/>
  <c r="J12" i="59" s="1"/>
  <c r="J13" i="59" s="1"/>
  <c r="J14" i="59" s="1"/>
  <c r="J15" i="59" s="1"/>
  <c r="AP7" i="59"/>
  <c r="AP8" i="59" s="1"/>
  <c r="AP9" i="59" s="1"/>
  <c r="AP10" i="59" s="1"/>
  <c r="AP11" i="59" s="1"/>
  <c r="AP12" i="59" s="1"/>
  <c r="AP13" i="59" s="1"/>
  <c r="AP14" i="59" s="1"/>
  <c r="AP15" i="59" s="1"/>
  <c r="AL7" i="59"/>
  <c r="AL8" i="59" s="1"/>
  <c r="AL9" i="59" s="1"/>
  <c r="AL10" i="59" s="1"/>
  <c r="AL11" i="59" s="1"/>
  <c r="AL12" i="59" s="1"/>
  <c r="AL13" i="59" s="1"/>
  <c r="AL14" i="59" s="1"/>
  <c r="AH7" i="59"/>
  <c r="AH8" i="59" s="1"/>
  <c r="AH9" i="59" s="1"/>
  <c r="AH10" i="59" s="1"/>
  <c r="AH11" i="59" s="1"/>
  <c r="AH12" i="59" s="1"/>
  <c r="AH13" i="59" s="1"/>
  <c r="AH14" i="59" s="1"/>
  <c r="AH15" i="59" s="1"/>
  <c r="AD7" i="59"/>
  <c r="AD8" i="59" s="1"/>
  <c r="AD9" i="59" s="1"/>
  <c r="AD10" i="59" s="1"/>
  <c r="AD11" i="59" s="1"/>
  <c r="AD12" i="59" s="1"/>
  <c r="AD13" i="59" s="1"/>
  <c r="AD14" i="59" s="1"/>
  <c r="AD15" i="59" s="1"/>
  <c r="Z7" i="59"/>
  <c r="Z8" i="59" s="1"/>
  <c r="Z9" i="59" s="1"/>
  <c r="Z10" i="59" s="1"/>
  <c r="Z11" i="59" s="1"/>
  <c r="Z12" i="59" s="1"/>
  <c r="Z13" i="59" s="1"/>
  <c r="Z14" i="59" s="1"/>
  <c r="Z15" i="59" s="1"/>
  <c r="V7" i="59"/>
  <c r="V8" i="59" s="1"/>
  <c r="V9" i="59" s="1"/>
  <c r="V10" i="59" s="1"/>
  <c r="V11" i="59" s="1"/>
  <c r="V12" i="59" s="1"/>
  <c r="V13" i="59" s="1"/>
  <c r="V14" i="59" s="1"/>
  <c r="V15" i="59" s="1"/>
  <c r="R7" i="59"/>
  <c r="R8" i="59" s="1"/>
  <c r="R9" i="59" s="1"/>
  <c r="R10" i="59" s="1"/>
  <c r="R11" i="59" s="1"/>
  <c r="R12" i="59" s="1"/>
  <c r="R13" i="59" s="1"/>
  <c r="R14" i="59" s="1"/>
  <c r="R15" i="59" s="1"/>
  <c r="N7" i="59"/>
  <c r="N8" i="59" s="1"/>
  <c r="N9" i="59" s="1"/>
  <c r="N10" i="59" s="1"/>
  <c r="N11" i="59" s="1"/>
  <c r="N12" i="59" s="1"/>
  <c r="N13" i="59" s="1"/>
  <c r="N14" i="59" s="1"/>
  <c r="N15" i="59" s="1"/>
  <c r="J7" i="59"/>
  <c r="F7" i="59"/>
  <c r="F8" i="59" s="1"/>
  <c r="F9" i="59" s="1"/>
  <c r="F10" i="59" s="1"/>
  <c r="F11" i="59" s="1"/>
  <c r="F12" i="59" s="1"/>
  <c r="F13" i="59" s="1"/>
  <c r="F14" i="59" s="1"/>
  <c r="F15" i="59" s="1"/>
  <c r="AP6" i="59"/>
  <c r="AL6" i="59"/>
  <c r="AH6" i="59"/>
  <c r="AD6" i="59"/>
  <c r="Z6" i="59"/>
  <c r="V6" i="59"/>
  <c r="R6" i="59"/>
  <c r="N6" i="59"/>
  <c r="J6" i="59"/>
  <c r="F6" i="59"/>
  <c r="C18" i="58"/>
  <c r="B13" i="58"/>
  <c r="AL12" i="58"/>
  <c r="AL13" i="58" s="1"/>
  <c r="AL14" i="58" s="1"/>
  <c r="AL15" i="58" s="1"/>
  <c r="V12" i="58"/>
  <c r="V13" i="58" s="1"/>
  <c r="V14" i="58" s="1"/>
  <c r="V15" i="58" s="1"/>
  <c r="AD11" i="58"/>
  <c r="AD12" i="58" s="1"/>
  <c r="AD13" i="58" s="1"/>
  <c r="AD14" i="58" s="1"/>
  <c r="AD15" i="58" s="1"/>
  <c r="N11" i="58"/>
  <c r="N12" i="58" s="1"/>
  <c r="N13" i="58" s="1"/>
  <c r="N14" i="58" s="1"/>
  <c r="N15" i="58" s="1"/>
  <c r="AP6" i="58"/>
  <c r="AP7" i="58" s="1"/>
  <c r="AP8" i="58" s="1"/>
  <c r="AP9" i="58" s="1"/>
  <c r="AP10" i="58" s="1"/>
  <c r="AP11" i="58" s="1"/>
  <c r="AP12" i="58" s="1"/>
  <c r="AP13" i="58" s="1"/>
  <c r="AP14" i="58" s="1"/>
  <c r="AP15" i="58" s="1"/>
  <c r="AL6" i="58"/>
  <c r="AL7" i="58" s="1"/>
  <c r="AL8" i="58" s="1"/>
  <c r="AL9" i="58" s="1"/>
  <c r="AL10" i="58" s="1"/>
  <c r="AL11" i="58" s="1"/>
  <c r="AH6" i="58"/>
  <c r="AH7" i="58" s="1"/>
  <c r="AH8" i="58" s="1"/>
  <c r="AH9" i="58" s="1"/>
  <c r="AH10" i="58" s="1"/>
  <c r="AH11" i="58" s="1"/>
  <c r="AH12" i="58" s="1"/>
  <c r="AH13" i="58" s="1"/>
  <c r="AH14" i="58" s="1"/>
  <c r="AH15" i="58" s="1"/>
  <c r="AD6" i="58"/>
  <c r="AD7" i="58" s="1"/>
  <c r="AD8" i="58" s="1"/>
  <c r="AD9" i="58" s="1"/>
  <c r="AD10" i="58" s="1"/>
  <c r="Z6" i="58"/>
  <c r="Z7" i="58" s="1"/>
  <c r="Z8" i="58" s="1"/>
  <c r="Z9" i="58" s="1"/>
  <c r="Z10" i="58" s="1"/>
  <c r="Z11" i="58" s="1"/>
  <c r="Z12" i="58" s="1"/>
  <c r="Z13" i="58" s="1"/>
  <c r="Z14" i="58" s="1"/>
  <c r="Z15" i="58" s="1"/>
  <c r="V6" i="58"/>
  <c r="V7" i="58" s="1"/>
  <c r="V8" i="58" s="1"/>
  <c r="V9" i="58" s="1"/>
  <c r="V10" i="58" s="1"/>
  <c r="V11" i="58" s="1"/>
  <c r="R6" i="58"/>
  <c r="R7" i="58" s="1"/>
  <c r="R8" i="58" s="1"/>
  <c r="R9" i="58" s="1"/>
  <c r="R10" i="58" s="1"/>
  <c r="R11" i="58" s="1"/>
  <c r="R12" i="58" s="1"/>
  <c r="R13" i="58" s="1"/>
  <c r="R14" i="58" s="1"/>
  <c r="R15" i="58" s="1"/>
  <c r="N6" i="58"/>
  <c r="N7" i="58" s="1"/>
  <c r="N8" i="58" s="1"/>
  <c r="N9" i="58" s="1"/>
  <c r="N10" i="58" s="1"/>
  <c r="J6" i="58"/>
  <c r="J7" i="58" s="1"/>
  <c r="J8" i="58" s="1"/>
  <c r="J9" i="58" s="1"/>
  <c r="J10" i="58" s="1"/>
  <c r="J11" i="58" s="1"/>
  <c r="J12" i="58" s="1"/>
  <c r="J13" i="58" s="1"/>
  <c r="J14" i="58" s="1"/>
  <c r="J15" i="58" s="1"/>
  <c r="F6" i="58"/>
  <c r="F7" i="58" s="1"/>
  <c r="F8" i="58" s="1"/>
  <c r="F9" i="58" s="1"/>
  <c r="F10" i="58" s="1"/>
  <c r="F11" i="58" s="1"/>
  <c r="F12" i="58" s="1"/>
  <c r="F13" i="58" s="1"/>
  <c r="F14" i="58" s="1"/>
  <c r="F15" i="58" s="1"/>
  <c r="C18" i="57"/>
  <c r="B13" i="57"/>
  <c r="AP8" i="57"/>
  <c r="AP9" i="57" s="1"/>
  <c r="AP10" i="57" s="1"/>
  <c r="AP11" i="57" s="1"/>
  <c r="AP12" i="57" s="1"/>
  <c r="AP13" i="57" s="1"/>
  <c r="AP14" i="57" s="1"/>
  <c r="AP15" i="57" s="1"/>
  <c r="J8" i="57"/>
  <c r="J9" i="57" s="1"/>
  <c r="J10" i="57" s="1"/>
  <c r="J11" i="57" s="1"/>
  <c r="J12" i="57" s="1"/>
  <c r="J13" i="57" s="1"/>
  <c r="J14" i="57" s="1"/>
  <c r="J15" i="57" s="1"/>
  <c r="AP7" i="57"/>
  <c r="AL7" i="57"/>
  <c r="AL8" i="57" s="1"/>
  <c r="AL9" i="57" s="1"/>
  <c r="AL10" i="57" s="1"/>
  <c r="AL11" i="57" s="1"/>
  <c r="AL12" i="57" s="1"/>
  <c r="AL13" i="57" s="1"/>
  <c r="AL14" i="57" s="1"/>
  <c r="AL15" i="57" s="1"/>
  <c r="AH7" i="57"/>
  <c r="AH8" i="57" s="1"/>
  <c r="AH9" i="57" s="1"/>
  <c r="AH10" i="57" s="1"/>
  <c r="AH11" i="57" s="1"/>
  <c r="AH12" i="57" s="1"/>
  <c r="AH13" i="57" s="1"/>
  <c r="AH14" i="57" s="1"/>
  <c r="AH15" i="57" s="1"/>
  <c r="AD7" i="57"/>
  <c r="AD8" i="57" s="1"/>
  <c r="AD9" i="57" s="1"/>
  <c r="AD10" i="57" s="1"/>
  <c r="AD11" i="57" s="1"/>
  <c r="AD12" i="57" s="1"/>
  <c r="AD13" i="57" s="1"/>
  <c r="AD14" i="57" s="1"/>
  <c r="AD15" i="57" s="1"/>
  <c r="Z7" i="57"/>
  <c r="Z8" i="57" s="1"/>
  <c r="Z9" i="57" s="1"/>
  <c r="Z10" i="57" s="1"/>
  <c r="Z11" i="57" s="1"/>
  <c r="Z12" i="57" s="1"/>
  <c r="Z13" i="57" s="1"/>
  <c r="Z14" i="57" s="1"/>
  <c r="Z15" i="57" s="1"/>
  <c r="V7" i="57"/>
  <c r="V8" i="57" s="1"/>
  <c r="V9" i="57" s="1"/>
  <c r="V10" i="57" s="1"/>
  <c r="V11" i="57" s="1"/>
  <c r="V12" i="57" s="1"/>
  <c r="V13" i="57" s="1"/>
  <c r="V14" i="57" s="1"/>
  <c r="V15" i="57" s="1"/>
  <c r="R7" i="57"/>
  <c r="R8" i="57" s="1"/>
  <c r="R9" i="57" s="1"/>
  <c r="R10" i="57" s="1"/>
  <c r="R11" i="57" s="1"/>
  <c r="R12" i="57" s="1"/>
  <c r="R13" i="57" s="1"/>
  <c r="R14" i="57" s="1"/>
  <c r="R15" i="57" s="1"/>
  <c r="N7" i="57"/>
  <c r="N8" i="57" s="1"/>
  <c r="N9" i="57" s="1"/>
  <c r="N10" i="57" s="1"/>
  <c r="N11" i="57" s="1"/>
  <c r="N12" i="57" s="1"/>
  <c r="N13" i="57" s="1"/>
  <c r="N14" i="57" s="1"/>
  <c r="N15" i="57" s="1"/>
  <c r="J7" i="57"/>
  <c r="F7" i="57"/>
  <c r="F8" i="57" s="1"/>
  <c r="F9" i="57" s="1"/>
  <c r="F10" i="57" s="1"/>
  <c r="F11" i="57" s="1"/>
  <c r="F12" i="57" s="1"/>
  <c r="F13" i="57" s="1"/>
  <c r="F14" i="57" s="1"/>
  <c r="F15" i="57" s="1"/>
  <c r="AP6" i="57"/>
  <c r="AL6" i="57"/>
  <c r="AH6" i="57"/>
  <c r="AD6" i="57"/>
  <c r="Z6" i="57"/>
  <c r="V6" i="57"/>
  <c r="R6" i="57"/>
  <c r="N6" i="57"/>
  <c r="J6" i="57"/>
  <c r="F6" i="57"/>
  <c r="C18" i="56"/>
  <c r="B13" i="56"/>
  <c r="AD11" i="56"/>
  <c r="AD12" i="56" s="1"/>
  <c r="AD13" i="56" s="1"/>
  <c r="AD14" i="56" s="1"/>
  <c r="AD15" i="56" s="1"/>
  <c r="AP8" i="56"/>
  <c r="AP9" i="56" s="1"/>
  <c r="AP10" i="56" s="1"/>
  <c r="AP11" i="56" s="1"/>
  <c r="AP12" i="56" s="1"/>
  <c r="AP13" i="56" s="1"/>
  <c r="AP14" i="56" s="1"/>
  <c r="AP15" i="56" s="1"/>
  <c r="J8" i="56"/>
  <c r="J9" i="56" s="1"/>
  <c r="J10" i="56" s="1"/>
  <c r="J11" i="56" s="1"/>
  <c r="J12" i="56" s="1"/>
  <c r="J13" i="56" s="1"/>
  <c r="J14" i="56" s="1"/>
  <c r="J15" i="56" s="1"/>
  <c r="AP7" i="56"/>
  <c r="AL7" i="56"/>
  <c r="AL8" i="56" s="1"/>
  <c r="AL9" i="56" s="1"/>
  <c r="AL10" i="56" s="1"/>
  <c r="AL11" i="56" s="1"/>
  <c r="AL12" i="56" s="1"/>
  <c r="AL13" i="56" s="1"/>
  <c r="AL14" i="56" s="1"/>
  <c r="AL15" i="56" s="1"/>
  <c r="AH7" i="56"/>
  <c r="AH8" i="56" s="1"/>
  <c r="AH9" i="56" s="1"/>
  <c r="AH10" i="56" s="1"/>
  <c r="AH11" i="56" s="1"/>
  <c r="AH12" i="56" s="1"/>
  <c r="AH13" i="56" s="1"/>
  <c r="AH14" i="56" s="1"/>
  <c r="AH15" i="56" s="1"/>
  <c r="AD7" i="56"/>
  <c r="AD8" i="56" s="1"/>
  <c r="AD9" i="56" s="1"/>
  <c r="AD10" i="56" s="1"/>
  <c r="Z7" i="56"/>
  <c r="Z8" i="56" s="1"/>
  <c r="Z9" i="56" s="1"/>
  <c r="Z10" i="56" s="1"/>
  <c r="Z11" i="56" s="1"/>
  <c r="Z12" i="56" s="1"/>
  <c r="Z13" i="56" s="1"/>
  <c r="Z14" i="56" s="1"/>
  <c r="Z15" i="56" s="1"/>
  <c r="V7" i="56"/>
  <c r="V8" i="56" s="1"/>
  <c r="V9" i="56" s="1"/>
  <c r="V10" i="56" s="1"/>
  <c r="V11" i="56" s="1"/>
  <c r="V12" i="56" s="1"/>
  <c r="V13" i="56" s="1"/>
  <c r="V14" i="56" s="1"/>
  <c r="V15" i="56" s="1"/>
  <c r="R7" i="56"/>
  <c r="R8" i="56" s="1"/>
  <c r="R9" i="56" s="1"/>
  <c r="R10" i="56" s="1"/>
  <c r="R11" i="56" s="1"/>
  <c r="R12" i="56" s="1"/>
  <c r="R13" i="56" s="1"/>
  <c r="R14" i="56" s="1"/>
  <c r="R15" i="56" s="1"/>
  <c r="N7" i="56"/>
  <c r="N8" i="56" s="1"/>
  <c r="N9" i="56" s="1"/>
  <c r="N10" i="56" s="1"/>
  <c r="N11" i="56" s="1"/>
  <c r="N12" i="56" s="1"/>
  <c r="N13" i="56" s="1"/>
  <c r="N14" i="56" s="1"/>
  <c r="N15" i="56" s="1"/>
  <c r="J7" i="56"/>
  <c r="F7" i="56"/>
  <c r="F8" i="56" s="1"/>
  <c r="F9" i="56" s="1"/>
  <c r="F10" i="56" s="1"/>
  <c r="F11" i="56" s="1"/>
  <c r="F12" i="56" s="1"/>
  <c r="F13" i="56" s="1"/>
  <c r="F14" i="56" s="1"/>
  <c r="F15" i="56" s="1"/>
  <c r="AP6" i="56"/>
  <c r="AL6" i="56"/>
  <c r="AH6" i="56"/>
  <c r="AD6" i="56"/>
  <c r="Z6" i="56"/>
  <c r="V6" i="56"/>
  <c r="R6" i="56"/>
  <c r="N6" i="56"/>
  <c r="J6" i="56"/>
  <c r="F6" i="56"/>
  <c r="C18" i="55"/>
  <c r="B13" i="55"/>
  <c r="AP6" i="55"/>
  <c r="AP7" i="55" s="1"/>
  <c r="AP8" i="55" s="1"/>
  <c r="AP9" i="55" s="1"/>
  <c r="AP10" i="55" s="1"/>
  <c r="AP11" i="55" s="1"/>
  <c r="AP12" i="55" s="1"/>
  <c r="AP13" i="55" s="1"/>
  <c r="AP14" i="55" s="1"/>
  <c r="AP15" i="55" s="1"/>
  <c r="C18" i="54"/>
  <c r="B13" i="54"/>
  <c r="AP6" i="54"/>
  <c r="AP7" i="54" s="1"/>
  <c r="AP8" i="54" s="1"/>
  <c r="AP9" i="54" s="1"/>
  <c r="AP10" i="54" s="1"/>
  <c r="AP11" i="54" s="1"/>
  <c r="AP12" i="54" s="1"/>
  <c r="AP13" i="54" s="1"/>
  <c r="AP14" i="54" s="1"/>
  <c r="AP15" i="54" s="1"/>
  <c r="AL6" i="54"/>
  <c r="AL7" i="54" s="1"/>
  <c r="AL8" i="54" s="1"/>
  <c r="AL9" i="54" s="1"/>
  <c r="AL10" i="54" s="1"/>
  <c r="AL11" i="54" s="1"/>
  <c r="AL12" i="54" s="1"/>
  <c r="AL13" i="54" s="1"/>
  <c r="AL14" i="54" s="1"/>
  <c r="AL15" i="54" s="1"/>
  <c r="C18" i="53"/>
  <c r="B13" i="53"/>
  <c r="AP7" i="53"/>
  <c r="AP8" i="53" s="1"/>
  <c r="AP9" i="53" s="1"/>
  <c r="AP10" i="53" s="1"/>
  <c r="AP11" i="53" s="1"/>
  <c r="AP12" i="53" s="1"/>
  <c r="AP13" i="53" s="1"/>
  <c r="AP14" i="53" s="1"/>
  <c r="AP15" i="53" s="1"/>
  <c r="AL7" i="53"/>
  <c r="AL8" i="53" s="1"/>
  <c r="AL9" i="53" s="1"/>
  <c r="AL10" i="53" s="1"/>
  <c r="AL11" i="53" s="1"/>
  <c r="AL12" i="53" s="1"/>
  <c r="AL13" i="53" s="1"/>
  <c r="AL14" i="53" s="1"/>
  <c r="AL15" i="53" s="1"/>
  <c r="AH7" i="53"/>
  <c r="AH8" i="53" s="1"/>
  <c r="AH9" i="53" s="1"/>
  <c r="AH10" i="53" s="1"/>
  <c r="AH11" i="53" s="1"/>
  <c r="AH12" i="53" s="1"/>
  <c r="AH13" i="53" s="1"/>
  <c r="AH14" i="53" s="1"/>
  <c r="AH15" i="53" s="1"/>
  <c r="AD7" i="53"/>
  <c r="AD8" i="53" s="1"/>
  <c r="AD9" i="53" s="1"/>
  <c r="AD10" i="53" s="1"/>
  <c r="AD11" i="53" s="1"/>
  <c r="AD12" i="53" s="1"/>
  <c r="AD13" i="53" s="1"/>
  <c r="AD14" i="53" s="1"/>
  <c r="AD15" i="53" s="1"/>
  <c r="Z7" i="53"/>
  <c r="Z8" i="53" s="1"/>
  <c r="Z9" i="53" s="1"/>
  <c r="Z10" i="53" s="1"/>
  <c r="Z11" i="53" s="1"/>
  <c r="Z12" i="53" s="1"/>
  <c r="Z13" i="53" s="1"/>
  <c r="Z14" i="53" s="1"/>
  <c r="Z15" i="53" s="1"/>
  <c r="V7" i="53"/>
  <c r="V8" i="53" s="1"/>
  <c r="V9" i="53" s="1"/>
  <c r="V10" i="53" s="1"/>
  <c r="V11" i="53" s="1"/>
  <c r="V12" i="53" s="1"/>
  <c r="V13" i="53" s="1"/>
  <c r="V14" i="53" s="1"/>
  <c r="V15" i="53" s="1"/>
  <c r="R7" i="53"/>
  <c r="R8" i="53" s="1"/>
  <c r="R9" i="53" s="1"/>
  <c r="R10" i="53" s="1"/>
  <c r="R11" i="53" s="1"/>
  <c r="R12" i="53" s="1"/>
  <c r="R13" i="53" s="1"/>
  <c r="R14" i="53" s="1"/>
  <c r="R15" i="53" s="1"/>
  <c r="N7" i="53"/>
  <c r="N8" i="53" s="1"/>
  <c r="N9" i="53" s="1"/>
  <c r="N10" i="53" s="1"/>
  <c r="N11" i="53" s="1"/>
  <c r="N12" i="53" s="1"/>
  <c r="N13" i="53" s="1"/>
  <c r="N14" i="53" s="1"/>
  <c r="N15" i="53" s="1"/>
  <c r="J7" i="53"/>
  <c r="J8" i="53" s="1"/>
  <c r="J9" i="53" s="1"/>
  <c r="J10" i="53" s="1"/>
  <c r="J11" i="53" s="1"/>
  <c r="J12" i="53" s="1"/>
  <c r="J13" i="53" s="1"/>
  <c r="J14" i="53" s="1"/>
  <c r="J15" i="53" s="1"/>
  <c r="F7" i="53"/>
  <c r="F8" i="53" s="1"/>
  <c r="F9" i="53" s="1"/>
  <c r="F10" i="53" s="1"/>
  <c r="F11" i="53" s="1"/>
  <c r="F12" i="53" s="1"/>
  <c r="F13" i="53" s="1"/>
  <c r="F14" i="53" s="1"/>
  <c r="F15" i="53" s="1"/>
  <c r="AP6" i="53"/>
  <c r="AL6" i="53"/>
  <c r="AH6" i="53"/>
  <c r="AD6" i="53"/>
  <c r="Z6" i="53"/>
  <c r="V6" i="53"/>
  <c r="R6" i="53"/>
  <c r="N6" i="53"/>
  <c r="J6" i="53"/>
  <c r="F6" i="53"/>
  <c r="C18" i="52"/>
  <c r="B13" i="52"/>
  <c r="AP6" i="52"/>
  <c r="AP7" i="52" s="1"/>
  <c r="AP8" i="52" s="1"/>
  <c r="AP9" i="52" s="1"/>
  <c r="AP10" i="52" s="1"/>
  <c r="AP11" i="52" s="1"/>
  <c r="AP12" i="52" s="1"/>
  <c r="AP13" i="52" s="1"/>
  <c r="AP14" i="52" s="1"/>
  <c r="AP15" i="52" s="1"/>
  <c r="AL6" i="52"/>
  <c r="AL7" i="52" s="1"/>
  <c r="AL8" i="52" s="1"/>
  <c r="AL9" i="52" s="1"/>
  <c r="AL10" i="52" s="1"/>
  <c r="AL11" i="52" s="1"/>
  <c r="AL12" i="52" s="1"/>
  <c r="AL13" i="52" s="1"/>
  <c r="AL14" i="52" s="1"/>
  <c r="AL15" i="52" s="1"/>
  <c r="AH6" i="52"/>
  <c r="AH7" i="52" s="1"/>
  <c r="AH8" i="52" s="1"/>
  <c r="AH9" i="52" s="1"/>
  <c r="AH10" i="52" s="1"/>
  <c r="AH11" i="52" s="1"/>
  <c r="AH12" i="52" s="1"/>
  <c r="AH13" i="52" s="1"/>
  <c r="AH14" i="52" s="1"/>
  <c r="AH15" i="52" s="1"/>
  <c r="AD6" i="52"/>
  <c r="AD7" i="52" s="1"/>
  <c r="AD8" i="52" s="1"/>
  <c r="AD9" i="52" s="1"/>
  <c r="AD10" i="52" s="1"/>
  <c r="AD11" i="52" s="1"/>
  <c r="AD12" i="52" s="1"/>
  <c r="AD13" i="52" s="1"/>
  <c r="AD14" i="52" s="1"/>
  <c r="AD15" i="52" s="1"/>
  <c r="Z6" i="52"/>
  <c r="Z7" i="52" s="1"/>
  <c r="Z8" i="52" s="1"/>
  <c r="Z9" i="52" s="1"/>
  <c r="Z10" i="52" s="1"/>
  <c r="Z11" i="52" s="1"/>
  <c r="Z12" i="52" s="1"/>
  <c r="Z13" i="52" s="1"/>
  <c r="Z14" i="52" s="1"/>
  <c r="Z15" i="52" s="1"/>
  <c r="V6" i="52"/>
  <c r="V7" i="52" s="1"/>
  <c r="V8" i="52" s="1"/>
  <c r="V9" i="52" s="1"/>
  <c r="V10" i="52" s="1"/>
  <c r="V11" i="52" s="1"/>
  <c r="V12" i="52" s="1"/>
  <c r="V13" i="52" s="1"/>
  <c r="V14" i="52" s="1"/>
  <c r="V15" i="52" s="1"/>
  <c r="R6" i="52"/>
  <c r="R7" i="52" s="1"/>
  <c r="R8" i="52" s="1"/>
  <c r="R9" i="52" s="1"/>
  <c r="R10" i="52" s="1"/>
  <c r="R11" i="52" s="1"/>
  <c r="R12" i="52" s="1"/>
  <c r="R13" i="52" s="1"/>
  <c r="R14" i="52" s="1"/>
  <c r="R15" i="52" s="1"/>
  <c r="N6" i="52"/>
  <c r="N7" i="52" s="1"/>
  <c r="N8" i="52" s="1"/>
  <c r="N9" i="52" s="1"/>
  <c r="N10" i="52" s="1"/>
  <c r="N11" i="52" s="1"/>
  <c r="N12" i="52" s="1"/>
  <c r="N13" i="52" s="1"/>
  <c r="N14" i="52" s="1"/>
  <c r="N15" i="52" s="1"/>
  <c r="J6" i="52"/>
  <c r="J7" i="52" s="1"/>
  <c r="J8" i="52" s="1"/>
  <c r="J9" i="52" s="1"/>
  <c r="J10" i="52" s="1"/>
  <c r="J11" i="52" s="1"/>
  <c r="J12" i="52" s="1"/>
  <c r="J13" i="52" s="1"/>
  <c r="J14" i="52" s="1"/>
  <c r="J15" i="52" s="1"/>
  <c r="F6" i="52"/>
  <c r="F7" i="52" s="1"/>
  <c r="F8" i="52" s="1"/>
  <c r="F9" i="52" s="1"/>
  <c r="F10" i="52" s="1"/>
  <c r="F11" i="52" s="1"/>
  <c r="F12" i="52" s="1"/>
  <c r="F13" i="52" s="1"/>
  <c r="F14" i="52" s="1"/>
  <c r="F15" i="52" s="1"/>
  <c r="C18" i="51"/>
  <c r="B13" i="51"/>
  <c r="V10" i="51"/>
  <c r="V11" i="51" s="1"/>
  <c r="V12" i="51" s="1"/>
  <c r="V13" i="51" s="1"/>
  <c r="V14" i="51" s="1"/>
  <c r="V15" i="51" s="1"/>
  <c r="AL8" i="51"/>
  <c r="AL9" i="51" s="1"/>
  <c r="AL10" i="51" s="1"/>
  <c r="AL11" i="51" s="1"/>
  <c r="AL12" i="51" s="1"/>
  <c r="AL13" i="51" s="1"/>
  <c r="AL14" i="51" s="1"/>
  <c r="AL15" i="51" s="1"/>
  <c r="V8" i="51"/>
  <c r="V9" i="51" s="1"/>
  <c r="AH7" i="51"/>
  <c r="AH8" i="51" s="1"/>
  <c r="AH9" i="51" s="1"/>
  <c r="AH10" i="51" s="1"/>
  <c r="AH11" i="51" s="1"/>
  <c r="AH12" i="51" s="1"/>
  <c r="AH13" i="51" s="1"/>
  <c r="AH14" i="51" s="1"/>
  <c r="AH15" i="51" s="1"/>
  <c r="R7" i="51"/>
  <c r="R8" i="51" s="1"/>
  <c r="R9" i="51" s="1"/>
  <c r="R10" i="51" s="1"/>
  <c r="R11" i="51" s="1"/>
  <c r="R12" i="51" s="1"/>
  <c r="R13" i="51" s="1"/>
  <c r="R14" i="51" s="1"/>
  <c r="R15" i="51" s="1"/>
  <c r="AP6" i="51"/>
  <c r="AP7" i="51" s="1"/>
  <c r="AP8" i="51" s="1"/>
  <c r="AP9" i="51" s="1"/>
  <c r="AP10" i="51" s="1"/>
  <c r="AP11" i="51" s="1"/>
  <c r="AP12" i="51" s="1"/>
  <c r="AP13" i="51" s="1"/>
  <c r="AP14" i="51" s="1"/>
  <c r="AP15" i="51" s="1"/>
  <c r="AL6" i="51"/>
  <c r="AL7" i="51" s="1"/>
  <c r="AH6" i="51"/>
  <c r="AD6" i="51"/>
  <c r="AD7" i="51" s="1"/>
  <c r="AD8" i="51" s="1"/>
  <c r="AD9" i="51" s="1"/>
  <c r="AD10" i="51" s="1"/>
  <c r="AD11" i="51" s="1"/>
  <c r="AD12" i="51" s="1"/>
  <c r="AD13" i="51" s="1"/>
  <c r="AD14" i="51" s="1"/>
  <c r="AD15" i="51" s="1"/>
  <c r="Z6" i="51"/>
  <c r="Z7" i="51" s="1"/>
  <c r="Z8" i="51" s="1"/>
  <c r="Z9" i="51" s="1"/>
  <c r="Z10" i="51" s="1"/>
  <c r="Z11" i="51" s="1"/>
  <c r="Z12" i="51" s="1"/>
  <c r="Z13" i="51" s="1"/>
  <c r="Z14" i="51" s="1"/>
  <c r="Z15" i="51" s="1"/>
  <c r="V6" i="51"/>
  <c r="V7" i="51" s="1"/>
  <c r="R6" i="51"/>
  <c r="N6" i="51"/>
  <c r="N7" i="51" s="1"/>
  <c r="N8" i="51" s="1"/>
  <c r="N9" i="51" s="1"/>
  <c r="N10" i="51" s="1"/>
  <c r="N11" i="51" s="1"/>
  <c r="N12" i="51" s="1"/>
  <c r="N13" i="51" s="1"/>
  <c r="N14" i="51" s="1"/>
  <c r="N15" i="51" s="1"/>
  <c r="J6" i="51"/>
  <c r="J7" i="51" s="1"/>
  <c r="J8" i="51" s="1"/>
  <c r="J9" i="51" s="1"/>
  <c r="J10" i="51" s="1"/>
  <c r="J11" i="51" s="1"/>
  <c r="J12" i="51" s="1"/>
  <c r="J13" i="51" s="1"/>
  <c r="J14" i="51" s="1"/>
  <c r="J15" i="51" s="1"/>
  <c r="F6" i="51"/>
  <c r="F7" i="51" s="1"/>
  <c r="F8" i="51" s="1"/>
  <c r="F9" i="51" s="1"/>
  <c r="F10" i="51" s="1"/>
  <c r="F11" i="51" s="1"/>
  <c r="F12" i="51" s="1"/>
  <c r="F13" i="51" s="1"/>
  <c r="F14" i="51" s="1"/>
  <c r="F15" i="51" s="1"/>
  <c r="C18" i="50"/>
  <c r="B13" i="50"/>
  <c r="AP6" i="50"/>
  <c r="AP7" i="50" s="1"/>
  <c r="AP8" i="50" s="1"/>
  <c r="AP9" i="50" s="1"/>
  <c r="AP10" i="50" s="1"/>
  <c r="AP11" i="50" s="1"/>
  <c r="AP12" i="50" s="1"/>
  <c r="AP13" i="50" s="1"/>
  <c r="AP14" i="50" s="1"/>
  <c r="AP15" i="50" s="1"/>
  <c r="C18" i="49"/>
  <c r="B13" i="49"/>
  <c r="AP6" i="49"/>
  <c r="AP7" i="49" s="1"/>
  <c r="AP8" i="49" s="1"/>
  <c r="AP9" i="49" s="1"/>
  <c r="AP10" i="49" s="1"/>
  <c r="AP11" i="49" s="1"/>
  <c r="AP12" i="49" s="1"/>
  <c r="AP13" i="49" s="1"/>
  <c r="AP14" i="49" s="1"/>
  <c r="AP15" i="49" s="1"/>
  <c r="AL6" i="49"/>
  <c r="AL7" i="49" s="1"/>
  <c r="AL8" i="49" s="1"/>
  <c r="AL9" i="49" s="1"/>
  <c r="AL10" i="49" s="1"/>
  <c r="AL11" i="49" s="1"/>
  <c r="AL12" i="49" s="1"/>
  <c r="AL13" i="49" s="1"/>
  <c r="AL14" i="49" s="1"/>
  <c r="AL15" i="49" s="1"/>
  <c r="C18" i="48"/>
  <c r="B13" i="48"/>
  <c r="AP6" i="48"/>
  <c r="AL6" i="48" s="1"/>
  <c r="C18" i="47"/>
  <c r="B13" i="47"/>
  <c r="AP6" i="47"/>
  <c r="AP7" i="47" s="1"/>
  <c r="AP8" i="47" s="1"/>
  <c r="AP9" i="47" s="1"/>
  <c r="AP10" i="47" s="1"/>
  <c r="AP11" i="47" s="1"/>
  <c r="AP12" i="47" s="1"/>
  <c r="AP13" i="47" s="1"/>
  <c r="AP14" i="47" s="1"/>
  <c r="AP15" i="47" s="1"/>
  <c r="AL6" i="47"/>
  <c r="AL7" i="47" s="1"/>
  <c r="AL8" i="47" s="1"/>
  <c r="AL9" i="47" s="1"/>
  <c r="AL10" i="47" s="1"/>
  <c r="AL11" i="47" s="1"/>
  <c r="AL12" i="47" s="1"/>
  <c r="AL13" i="47" s="1"/>
  <c r="AL14" i="47" s="1"/>
  <c r="AL15" i="47" s="1"/>
  <c r="C18" i="46"/>
  <c r="B13" i="46"/>
  <c r="AP6" i="46"/>
  <c r="AL6" i="46" s="1"/>
  <c r="D5" i="65"/>
  <c r="C5" i="65"/>
  <c r="D7" i="65"/>
  <c r="B5" i="65"/>
  <c r="B7" i="65"/>
  <c r="D5" i="64"/>
  <c r="C5" i="64"/>
  <c r="D5" i="63"/>
  <c r="B5" i="62"/>
  <c r="B7" i="62"/>
  <c r="D7" i="64"/>
  <c r="C5" i="63"/>
  <c r="D5" i="62"/>
  <c r="D7" i="62" s="1"/>
  <c r="D7" i="63"/>
  <c r="B5" i="63"/>
  <c r="B7" i="63" s="1"/>
  <c r="C5" i="61"/>
  <c r="B5" i="64"/>
  <c r="B7" i="64" s="1"/>
  <c r="C5" i="62"/>
  <c r="B5" i="61"/>
  <c r="B7" i="61"/>
  <c r="D5" i="61"/>
  <c r="D7" i="61" s="1"/>
  <c r="D5" i="60"/>
  <c r="C5" i="60"/>
  <c r="B5" i="60"/>
  <c r="B7" i="60" s="1"/>
  <c r="B5" i="59"/>
  <c r="C5" i="58"/>
  <c r="B7" i="59"/>
  <c r="D5" i="59"/>
  <c r="D7" i="59" s="1"/>
  <c r="D5" i="58"/>
  <c r="D7" i="58"/>
  <c r="B5" i="58"/>
  <c r="B7" i="58" s="1"/>
  <c r="B5" i="56"/>
  <c r="D5" i="57"/>
  <c r="B7" i="56"/>
  <c r="C5" i="59"/>
  <c r="C5" i="57"/>
  <c r="C5" i="56"/>
  <c r="C5" i="55"/>
  <c r="D5" i="54"/>
  <c r="D7" i="57"/>
  <c r="B5" i="57"/>
  <c r="B7" i="57" s="1"/>
  <c r="B5" i="55"/>
  <c r="C5" i="54"/>
  <c r="B7" i="55"/>
  <c r="D5" i="55"/>
  <c r="D7" i="55" s="1"/>
  <c r="D7" i="54"/>
  <c r="D5" i="53"/>
  <c r="C5" i="53"/>
  <c r="D7" i="60"/>
  <c r="D5" i="56"/>
  <c r="D7" i="56" s="1"/>
  <c r="D7" i="53"/>
  <c r="B5" i="54"/>
  <c r="B7" i="54" s="1"/>
  <c r="B5" i="53"/>
  <c r="B7" i="53" s="1"/>
  <c r="C5" i="52"/>
  <c r="B5" i="52"/>
  <c r="B7" i="52"/>
  <c r="C5" i="51"/>
  <c r="D5" i="50"/>
  <c r="D5" i="52"/>
  <c r="D7" i="52" s="1"/>
  <c r="B5" i="51"/>
  <c r="C5" i="50"/>
  <c r="B7" i="51"/>
  <c r="D7" i="50"/>
  <c r="D5" i="49"/>
  <c r="D5" i="51"/>
  <c r="D7" i="51" s="1"/>
  <c r="C5" i="49"/>
  <c r="B5" i="50"/>
  <c r="B7" i="50" s="1"/>
  <c r="B5" i="49"/>
  <c r="D7" i="49"/>
  <c r="B7" i="49"/>
  <c r="C5" i="48"/>
  <c r="B5" i="48"/>
  <c r="B7" i="48"/>
  <c r="C5" i="47"/>
  <c r="D5" i="48"/>
  <c r="D7" i="48" s="1"/>
  <c r="B5" i="47"/>
  <c r="D5" i="47"/>
  <c r="D7" i="47" s="1"/>
  <c r="B7" i="47"/>
  <c r="C5" i="46"/>
  <c r="B5" i="46"/>
  <c r="B7" i="46"/>
  <c r="D5" i="46"/>
  <c r="D7" i="46" s="1"/>
  <c r="V19" i="61" l="1"/>
  <c r="F19" i="61"/>
  <c r="C11" i="61"/>
  <c r="N19" i="62"/>
  <c r="F19" i="64"/>
  <c r="C11" i="64"/>
  <c r="N19" i="61"/>
  <c r="F19" i="63"/>
  <c r="C11" i="63"/>
  <c r="V19" i="63"/>
  <c r="V19" i="62"/>
  <c r="N19" i="63"/>
  <c r="V19" i="64"/>
  <c r="C11" i="62"/>
  <c r="F19" i="62"/>
  <c r="N19" i="64"/>
  <c r="C11" i="65"/>
  <c r="F19" i="65"/>
  <c r="V19" i="65"/>
  <c r="N19" i="65"/>
  <c r="AL7" i="65"/>
  <c r="AL8" i="65" s="1"/>
  <c r="AL9" i="65" s="1"/>
  <c r="AL10" i="65" s="1"/>
  <c r="AL11" i="65" s="1"/>
  <c r="AL12" i="65" s="1"/>
  <c r="AL13" i="65" s="1"/>
  <c r="AL14" i="65" s="1"/>
  <c r="AL15" i="65" s="1"/>
  <c r="AH6" i="65"/>
  <c r="C11" i="53"/>
  <c r="F19" i="53"/>
  <c r="F19" i="54"/>
  <c r="C11" i="54"/>
  <c r="V19" i="53"/>
  <c r="V19" i="56"/>
  <c r="V19" i="60"/>
  <c r="N19" i="53"/>
  <c r="V19" i="54"/>
  <c r="V19" i="55"/>
  <c r="F19" i="55"/>
  <c r="C11" i="55"/>
  <c r="N19" i="54"/>
  <c r="F19" i="57"/>
  <c r="C11" i="57"/>
  <c r="V19" i="57"/>
  <c r="N19" i="55"/>
  <c r="N19" i="56"/>
  <c r="N19" i="57"/>
  <c r="N19" i="59"/>
  <c r="C11" i="56"/>
  <c r="F19" i="56"/>
  <c r="F19" i="58"/>
  <c r="C11" i="58"/>
  <c r="V19" i="58"/>
  <c r="V19" i="59"/>
  <c r="C11" i="59"/>
  <c r="F19" i="59"/>
  <c r="N19" i="58"/>
  <c r="C11" i="60"/>
  <c r="F19" i="60"/>
  <c r="N19" i="60"/>
  <c r="AH6" i="54"/>
  <c r="AL6" i="55"/>
  <c r="F19" i="49"/>
  <c r="C11" i="49"/>
  <c r="V19" i="49"/>
  <c r="F19" i="50"/>
  <c r="C11" i="50"/>
  <c r="N19" i="49"/>
  <c r="V19" i="51"/>
  <c r="V19" i="50"/>
  <c r="F19" i="51"/>
  <c r="C11" i="51"/>
  <c r="N19" i="50"/>
  <c r="V19" i="52"/>
  <c r="N19" i="51"/>
  <c r="C11" i="52"/>
  <c r="F19" i="52"/>
  <c r="N19" i="52"/>
  <c r="AH6" i="49"/>
  <c r="AL6" i="50"/>
  <c r="F19" i="47"/>
  <c r="C11" i="47"/>
  <c r="V19" i="47"/>
  <c r="V19" i="48"/>
  <c r="N19" i="47"/>
  <c r="C11" i="48"/>
  <c r="F19" i="48"/>
  <c r="N19" i="48"/>
  <c r="AL7" i="48"/>
  <c r="AL8" i="48" s="1"/>
  <c r="AL9" i="48" s="1"/>
  <c r="AL10" i="48" s="1"/>
  <c r="AL11" i="48" s="1"/>
  <c r="AL12" i="48" s="1"/>
  <c r="AL13" i="48" s="1"/>
  <c r="AL14" i="48" s="1"/>
  <c r="AL15" i="48" s="1"/>
  <c r="AH6" i="48"/>
  <c r="AH6" i="47"/>
  <c r="AP7" i="48"/>
  <c r="AP8" i="48" s="1"/>
  <c r="AP9" i="48" s="1"/>
  <c r="AP10" i="48" s="1"/>
  <c r="AP11" i="48" s="1"/>
  <c r="AP12" i="48" s="1"/>
  <c r="AP13" i="48" s="1"/>
  <c r="AP14" i="48" s="1"/>
  <c r="AP15" i="48" s="1"/>
  <c r="V19" i="46"/>
  <c r="C11" i="46"/>
  <c r="F19" i="46"/>
  <c r="N19" i="46"/>
  <c r="AL7" i="46"/>
  <c r="AL8" i="46" s="1"/>
  <c r="AL9" i="46" s="1"/>
  <c r="AL10" i="46" s="1"/>
  <c r="AL11" i="46" s="1"/>
  <c r="AL12" i="46" s="1"/>
  <c r="AL13" i="46" s="1"/>
  <c r="AL14" i="46" s="1"/>
  <c r="AL15" i="46" s="1"/>
  <c r="AH6" i="46"/>
  <c r="AP7" i="46"/>
  <c r="AP8" i="46" s="1"/>
  <c r="AP9" i="46" s="1"/>
  <c r="AP10" i="46" s="1"/>
  <c r="AP11" i="46" s="1"/>
  <c r="AP12" i="46" s="1"/>
  <c r="AP13" i="46" s="1"/>
  <c r="AP14" i="46" s="1"/>
  <c r="AP15" i="46" s="1"/>
  <c r="Q33" i="3"/>
  <c r="M33" i="3"/>
  <c r="R33" i="3"/>
  <c r="T33" i="3"/>
  <c r="P33" i="3"/>
  <c r="I33" i="3"/>
  <c r="S33" i="3"/>
  <c r="O33" i="3"/>
  <c r="C33" i="3"/>
  <c r="N33" i="3"/>
  <c r="R21" i="61"/>
  <c r="C13" i="62"/>
  <c r="C13" i="65"/>
  <c r="C13" i="61"/>
  <c r="R21" i="64"/>
  <c r="C13" i="63"/>
  <c r="C13" i="64"/>
  <c r="R21" i="63"/>
  <c r="C13" i="53"/>
  <c r="C13" i="56"/>
  <c r="C13" i="60"/>
  <c r="R21" i="60"/>
  <c r="C13" i="54"/>
  <c r="R21" i="53"/>
  <c r="C13" i="57"/>
  <c r="C13" i="58"/>
  <c r="C13" i="55"/>
  <c r="C13" i="59"/>
  <c r="R21" i="54"/>
  <c r="R21" i="58"/>
  <c r="C13" i="49"/>
  <c r="C13" i="52"/>
  <c r="C13" i="50"/>
  <c r="C13" i="51"/>
  <c r="R21" i="52"/>
  <c r="R21" i="50"/>
  <c r="R21" i="49"/>
  <c r="R21" i="51"/>
  <c r="R21" i="48"/>
  <c r="C13" i="47"/>
  <c r="C13" i="48"/>
  <c r="R21" i="46"/>
  <c r="C13" i="46"/>
  <c r="AD19" i="64" l="1"/>
  <c r="AS6" i="64"/>
  <c r="AD19" i="63"/>
  <c r="AS6" i="63"/>
  <c r="AD19" i="61"/>
  <c r="AS6" i="61"/>
  <c r="AD19" i="65"/>
  <c r="AS6" i="65"/>
  <c r="AD19" i="62"/>
  <c r="AS6" i="62"/>
  <c r="AH7" i="65"/>
  <c r="AH8" i="65" s="1"/>
  <c r="AH9" i="65" s="1"/>
  <c r="AH10" i="65" s="1"/>
  <c r="AH11" i="65" s="1"/>
  <c r="AH12" i="65" s="1"/>
  <c r="AH13" i="65" s="1"/>
  <c r="AH14" i="65" s="1"/>
  <c r="AH15" i="65" s="1"/>
  <c r="AD6" i="65"/>
  <c r="AD19" i="59"/>
  <c r="AS6" i="59"/>
  <c r="AD19" i="55"/>
  <c r="AS6" i="55"/>
  <c r="AD19" i="58"/>
  <c r="AS6" i="58"/>
  <c r="AD19" i="57"/>
  <c r="AS6" i="57"/>
  <c r="AS6" i="54"/>
  <c r="AD19" i="54"/>
  <c r="AD19" i="60"/>
  <c r="AS6" i="60"/>
  <c r="AD19" i="56"/>
  <c r="AS6" i="56"/>
  <c r="AS6" i="53"/>
  <c r="AD19" i="53"/>
  <c r="AL7" i="55"/>
  <c r="AL8" i="55" s="1"/>
  <c r="AL9" i="55" s="1"/>
  <c r="AL10" i="55" s="1"/>
  <c r="AL11" i="55" s="1"/>
  <c r="AL12" i="55" s="1"/>
  <c r="AL13" i="55" s="1"/>
  <c r="AL14" i="55" s="1"/>
  <c r="AL15" i="55" s="1"/>
  <c r="AH6" i="55"/>
  <c r="AH7" i="54"/>
  <c r="AH8" i="54" s="1"/>
  <c r="AH9" i="54" s="1"/>
  <c r="AH10" i="54" s="1"/>
  <c r="AH11" i="54" s="1"/>
  <c r="AH12" i="54" s="1"/>
  <c r="AH13" i="54" s="1"/>
  <c r="AH14" i="54" s="1"/>
  <c r="AH15" i="54" s="1"/>
  <c r="AD6" i="54"/>
  <c r="AD19" i="51"/>
  <c r="AS6" i="51"/>
  <c r="AS6" i="50"/>
  <c r="AD19" i="50"/>
  <c r="AD19" i="52"/>
  <c r="AS6" i="52"/>
  <c r="AS6" i="49"/>
  <c r="AD19" i="49"/>
  <c r="AL7" i="50"/>
  <c r="AL8" i="50" s="1"/>
  <c r="AL9" i="50" s="1"/>
  <c r="AL10" i="50" s="1"/>
  <c r="AL11" i="50" s="1"/>
  <c r="AL12" i="50" s="1"/>
  <c r="AL13" i="50" s="1"/>
  <c r="AL14" i="50" s="1"/>
  <c r="AL15" i="50" s="1"/>
  <c r="AH6" i="50"/>
  <c r="AH7" i="49"/>
  <c r="AH8" i="49" s="1"/>
  <c r="AH9" i="49" s="1"/>
  <c r="AH10" i="49" s="1"/>
  <c r="AH11" i="49" s="1"/>
  <c r="AH12" i="49" s="1"/>
  <c r="AH13" i="49" s="1"/>
  <c r="AH14" i="49" s="1"/>
  <c r="AH15" i="49" s="1"/>
  <c r="AD6" i="49"/>
  <c r="AD19" i="48"/>
  <c r="AS6" i="48"/>
  <c r="AD19" i="47"/>
  <c r="AS6" i="47"/>
  <c r="AH7" i="48"/>
  <c r="AH8" i="48" s="1"/>
  <c r="AH9" i="48" s="1"/>
  <c r="AH10" i="48" s="1"/>
  <c r="AH11" i="48" s="1"/>
  <c r="AH12" i="48" s="1"/>
  <c r="AH13" i="48" s="1"/>
  <c r="AH14" i="48" s="1"/>
  <c r="AH15" i="48" s="1"/>
  <c r="AD6" i="48"/>
  <c r="AH7" i="47"/>
  <c r="AH8" i="47" s="1"/>
  <c r="AH9" i="47" s="1"/>
  <c r="AH10" i="47" s="1"/>
  <c r="AH11" i="47" s="1"/>
  <c r="AH12" i="47" s="1"/>
  <c r="AH13" i="47" s="1"/>
  <c r="AH14" i="47" s="1"/>
  <c r="AH15" i="47" s="1"/>
  <c r="AD6" i="47"/>
  <c r="AD19" i="46"/>
  <c r="AS6" i="46"/>
  <c r="AH7" i="46"/>
  <c r="AH8" i="46" s="1"/>
  <c r="AH9" i="46" s="1"/>
  <c r="AH10" i="46" s="1"/>
  <c r="AH11" i="46" s="1"/>
  <c r="AH12" i="46" s="1"/>
  <c r="AH13" i="46" s="1"/>
  <c r="AH14" i="46" s="1"/>
  <c r="AH15" i="46" s="1"/>
  <c r="AD6" i="46"/>
  <c r="C14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T32" i="3"/>
  <c r="P32" i="3"/>
  <c r="I32" i="3"/>
  <c r="M32" i="3"/>
  <c r="S32" i="3"/>
  <c r="O32" i="3"/>
  <c r="Q32" i="3"/>
  <c r="R32" i="3"/>
  <c r="N32" i="3"/>
  <c r="R31" i="3"/>
  <c r="N31" i="3"/>
  <c r="O31" i="3"/>
  <c r="Q31" i="3"/>
  <c r="M31" i="3"/>
  <c r="T31" i="3"/>
  <c r="P31" i="3"/>
  <c r="I31" i="3"/>
  <c r="S31" i="3"/>
  <c r="T30" i="3"/>
  <c r="P30" i="3"/>
  <c r="I30" i="3"/>
  <c r="S30" i="3"/>
  <c r="O30" i="3"/>
  <c r="Q30" i="3"/>
  <c r="R30" i="3"/>
  <c r="N30" i="3"/>
  <c r="M30" i="3"/>
  <c r="R29" i="3"/>
  <c r="N29" i="3"/>
  <c r="O29" i="3"/>
  <c r="Q29" i="3"/>
  <c r="M29" i="3"/>
  <c r="I29" i="3"/>
  <c r="S29" i="3"/>
  <c r="T29" i="3"/>
  <c r="P29" i="3"/>
  <c r="T28" i="3"/>
  <c r="P28" i="3"/>
  <c r="I28" i="3"/>
  <c r="Q28" i="3"/>
  <c r="S28" i="3"/>
  <c r="O28" i="3"/>
  <c r="R28" i="3"/>
  <c r="N28" i="3"/>
  <c r="M28" i="3"/>
  <c r="R27" i="3"/>
  <c r="N27" i="3"/>
  <c r="Q27" i="3"/>
  <c r="M27" i="3"/>
  <c r="S27" i="3"/>
  <c r="T27" i="3"/>
  <c r="P27" i="3"/>
  <c r="I27" i="3"/>
  <c r="O27" i="3"/>
  <c r="T26" i="3"/>
  <c r="P26" i="3"/>
  <c r="I26" i="3"/>
  <c r="S26" i="3"/>
  <c r="O26" i="3"/>
  <c r="Q26" i="3"/>
  <c r="R26" i="3"/>
  <c r="N26" i="3"/>
  <c r="M26" i="3"/>
  <c r="R25" i="3"/>
  <c r="N25" i="3"/>
  <c r="O25" i="3"/>
  <c r="Q25" i="3"/>
  <c r="M25" i="3"/>
  <c r="T25" i="3"/>
  <c r="P25" i="3"/>
  <c r="I25" i="3"/>
  <c r="S25" i="3"/>
  <c r="T24" i="3"/>
  <c r="P24" i="3"/>
  <c r="I24" i="3"/>
  <c r="S24" i="3"/>
  <c r="O24" i="3"/>
  <c r="M24" i="3"/>
  <c r="R24" i="3"/>
  <c r="N24" i="3"/>
  <c r="Q24" i="3"/>
  <c r="R23" i="3"/>
  <c r="N23" i="3"/>
  <c r="S23" i="3"/>
  <c r="Q23" i="3"/>
  <c r="M23" i="3"/>
  <c r="I23" i="3"/>
  <c r="T23" i="3"/>
  <c r="P23" i="3"/>
  <c r="O23" i="3"/>
  <c r="T22" i="3"/>
  <c r="P22" i="3"/>
  <c r="I22" i="3"/>
  <c r="M22" i="3"/>
  <c r="S22" i="3"/>
  <c r="O22" i="3"/>
  <c r="R22" i="3"/>
  <c r="N22" i="3"/>
  <c r="Q22" i="3"/>
  <c r="R21" i="3"/>
  <c r="N21" i="3"/>
  <c r="S21" i="3"/>
  <c r="Q21" i="3"/>
  <c r="M21" i="3"/>
  <c r="I21" i="3"/>
  <c r="T21" i="3"/>
  <c r="P21" i="3"/>
  <c r="O21" i="3"/>
  <c r="T20" i="3"/>
  <c r="P20" i="3"/>
  <c r="I20" i="3"/>
  <c r="M20" i="3"/>
  <c r="S20" i="3"/>
  <c r="O20" i="3"/>
  <c r="Q20" i="3"/>
  <c r="R20" i="3"/>
  <c r="N20" i="3"/>
  <c r="R19" i="3"/>
  <c r="N19" i="3"/>
  <c r="S19" i="3"/>
  <c r="Q19" i="3"/>
  <c r="M19" i="3"/>
  <c r="I19" i="3"/>
  <c r="O19" i="3"/>
  <c r="T19" i="3"/>
  <c r="P19" i="3"/>
  <c r="T18" i="3"/>
  <c r="P18" i="3"/>
  <c r="I18" i="3"/>
  <c r="M18" i="3"/>
  <c r="S18" i="3"/>
  <c r="O18" i="3"/>
  <c r="R18" i="3"/>
  <c r="N18" i="3"/>
  <c r="Q18" i="3"/>
  <c r="R17" i="3"/>
  <c r="N17" i="3"/>
  <c r="I17" i="3"/>
  <c r="S17" i="3"/>
  <c r="Q17" i="3"/>
  <c r="M17" i="3"/>
  <c r="O17" i="3"/>
  <c r="T17" i="3"/>
  <c r="P17" i="3"/>
  <c r="T16" i="3"/>
  <c r="P16" i="3"/>
  <c r="I16" i="3"/>
  <c r="S16" i="3"/>
  <c r="O16" i="3"/>
  <c r="Q16" i="3"/>
  <c r="R16" i="3"/>
  <c r="N16" i="3"/>
  <c r="M16" i="3"/>
  <c r="R15" i="3"/>
  <c r="N15" i="3"/>
  <c r="I15" i="3"/>
  <c r="S15" i="3"/>
  <c r="Q15" i="3"/>
  <c r="M15" i="3"/>
  <c r="O15" i="3"/>
  <c r="T15" i="3"/>
  <c r="P15" i="3"/>
  <c r="T14" i="3"/>
  <c r="P14" i="3"/>
  <c r="I14" i="3"/>
  <c r="Q14" i="3"/>
  <c r="S14" i="3"/>
  <c r="O14" i="3"/>
  <c r="M14" i="3"/>
  <c r="R14" i="3"/>
  <c r="N14" i="3"/>
  <c r="J21" i="65"/>
  <c r="J21" i="63"/>
  <c r="AL19" i="61"/>
  <c r="AL19" i="65"/>
  <c r="AL19" i="63"/>
  <c r="J21" i="61"/>
  <c r="R21" i="62"/>
  <c r="J21" i="62"/>
  <c r="J21" i="64"/>
  <c r="R21" i="65"/>
  <c r="AL19" i="62"/>
  <c r="AL19" i="64"/>
  <c r="R21" i="59"/>
  <c r="AL19" i="60"/>
  <c r="J21" i="53"/>
  <c r="R21" i="56"/>
  <c r="J21" i="57"/>
  <c r="AL19" i="59"/>
  <c r="J21" i="54"/>
  <c r="J21" i="56"/>
  <c r="AL19" i="57"/>
  <c r="R21" i="57"/>
  <c r="AL19" i="56"/>
  <c r="AL19" i="58"/>
  <c r="J21" i="59"/>
  <c r="AL19" i="55"/>
  <c r="J21" i="60"/>
  <c r="J21" i="58"/>
  <c r="R21" i="55"/>
  <c r="J21" i="55"/>
  <c r="AL19" i="54"/>
  <c r="AL19" i="53"/>
  <c r="J21" i="52"/>
  <c r="J21" i="49"/>
  <c r="J21" i="51"/>
  <c r="J21" i="50"/>
  <c r="AL19" i="51"/>
  <c r="AL19" i="52"/>
  <c r="AL19" i="50"/>
  <c r="AL19" i="49"/>
  <c r="R21" i="47"/>
  <c r="J21" i="48"/>
  <c r="AL19" i="48"/>
  <c r="J21" i="47"/>
  <c r="AL19" i="47"/>
  <c r="J21" i="46"/>
  <c r="AL19" i="46"/>
  <c r="C13" i="3"/>
  <c r="AD7" i="65" l="1"/>
  <c r="AD8" i="65" s="1"/>
  <c r="AD9" i="65" s="1"/>
  <c r="AD10" i="65" s="1"/>
  <c r="AD11" i="65" s="1"/>
  <c r="AD12" i="65" s="1"/>
  <c r="AD13" i="65" s="1"/>
  <c r="AD14" i="65" s="1"/>
  <c r="AD15" i="65" s="1"/>
  <c r="Z6" i="65"/>
  <c r="AS7" i="65"/>
  <c r="AQ6" i="65"/>
  <c r="AR6" i="65" s="1"/>
  <c r="AQ6" i="63"/>
  <c r="AR6" i="63" s="1"/>
  <c r="AS7" i="63"/>
  <c r="AS7" i="62"/>
  <c r="AQ6" i="62"/>
  <c r="AR6" i="62" s="1"/>
  <c r="AS7" i="61"/>
  <c r="AQ6" i="61"/>
  <c r="AR6" i="61" s="1"/>
  <c r="AS7" i="64"/>
  <c r="AQ6" i="64"/>
  <c r="AR6" i="64" s="1"/>
  <c r="AS7" i="60"/>
  <c r="AQ6" i="60"/>
  <c r="AR6" i="60" s="1"/>
  <c r="AS7" i="57"/>
  <c r="AQ6" i="57"/>
  <c r="AR6" i="57" s="1"/>
  <c r="AS7" i="55"/>
  <c r="AQ6" i="55"/>
  <c r="AR6" i="55" s="1"/>
  <c r="AD7" i="54"/>
  <c r="AD8" i="54" s="1"/>
  <c r="AD9" i="54" s="1"/>
  <c r="AD10" i="54" s="1"/>
  <c r="AD11" i="54" s="1"/>
  <c r="AD12" i="54" s="1"/>
  <c r="AD13" i="54" s="1"/>
  <c r="AD14" i="54" s="1"/>
  <c r="AD15" i="54" s="1"/>
  <c r="Z6" i="54"/>
  <c r="AS7" i="53"/>
  <c r="AQ6" i="53"/>
  <c r="AR6" i="53" s="1"/>
  <c r="AH7" i="55"/>
  <c r="AH8" i="55" s="1"/>
  <c r="AH9" i="55" s="1"/>
  <c r="AH10" i="55" s="1"/>
  <c r="AH11" i="55" s="1"/>
  <c r="AH12" i="55" s="1"/>
  <c r="AH13" i="55" s="1"/>
  <c r="AH14" i="55" s="1"/>
  <c r="AH15" i="55" s="1"/>
  <c r="AD6" i="55"/>
  <c r="AS7" i="56"/>
  <c r="AQ6" i="56"/>
  <c r="AR6" i="56" s="1"/>
  <c r="AS7" i="58"/>
  <c r="AQ6" i="58"/>
  <c r="AR6" i="58" s="1"/>
  <c r="AS7" i="59"/>
  <c r="AQ6" i="59"/>
  <c r="AR6" i="59" s="1"/>
  <c r="AS7" i="54"/>
  <c r="AQ6" i="54"/>
  <c r="AR6" i="54" s="1"/>
  <c r="AS7" i="49"/>
  <c r="AQ6" i="49"/>
  <c r="AR6" i="49" s="1"/>
  <c r="AD7" i="49"/>
  <c r="AD8" i="49" s="1"/>
  <c r="AD9" i="49" s="1"/>
  <c r="AD10" i="49" s="1"/>
  <c r="AD11" i="49" s="1"/>
  <c r="AD12" i="49" s="1"/>
  <c r="AD13" i="49" s="1"/>
  <c r="AD14" i="49" s="1"/>
  <c r="AD15" i="49" s="1"/>
  <c r="Z6" i="49"/>
  <c r="AS7" i="52"/>
  <c r="AQ6" i="52"/>
  <c r="AR6" i="52" s="1"/>
  <c r="AQ6" i="51"/>
  <c r="AR6" i="51" s="1"/>
  <c r="AS7" i="51"/>
  <c r="AH7" i="50"/>
  <c r="AH8" i="50" s="1"/>
  <c r="AH9" i="50" s="1"/>
  <c r="AH10" i="50" s="1"/>
  <c r="AH11" i="50" s="1"/>
  <c r="AH12" i="50" s="1"/>
  <c r="AH13" i="50" s="1"/>
  <c r="AH14" i="50" s="1"/>
  <c r="AH15" i="50" s="1"/>
  <c r="AD6" i="50"/>
  <c r="AS7" i="50"/>
  <c r="AQ6" i="50"/>
  <c r="AR6" i="50" s="1"/>
  <c r="AS7" i="47"/>
  <c r="AQ6" i="47"/>
  <c r="AR6" i="47" s="1"/>
  <c r="AS7" i="48"/>
  <c r="AQ6" i="48"/>
  <c r="AR6" i="48" s="1"/>
  <c r="AD7" i="48"/>
  <c r="AD8" i="48" s="1"/>
  <c r="AD9" i="48" s="1"/>
  <c r="AD10" i="48" s="1"/>
  <c r="AD11" i="48" s="1"/>
  <c r="AD12" i="48" s="1"/>
  <c r="AD13" i="48" s="1"/>
  <c r="AD14" i="48" s="1"/>
  <c r="AD15" i="48" s="1"/>
  <c r="Z6" i="48"/>
  <c r="AD7" i="47"/>
  <c r="AD8" i="47" s="1"/>
  <c r="AD9" i="47" s="1"/>
  <c r="AD10" i="47" s="1"/>
  <c r="AD11" i="47" s="1"/>
  <c r="AD12" i="47" s="1"/>
  <c r="AD13" i="47" s="1"/>
  <c r="AD14" i="47" s="1"/>
  <c r="AD15" i="47" s="1"/>
  <c r="Z6" i="47"/>
  <c r="AD7" i="46"/>
  <c r="AD8" i="46" s="1"/>
  <c r="AD9" i="46" s="1"/>
  <c r="AD10" i="46" s="1"/>
  <c r="AD11" i="46" s="1"/>
  <c r="AD12" i="46" s="1"/>
  <c r="AD13" i="46" s="1"/>
  <c r="AD14" i="46" s="1"/>
  <c r="AD15" i="46" s="1"/>
  <c r="Z6" i="46"/>
  <c r="AS7" i="46"/>
  <c r="AQ6" i="46"/>
  <c r="AR6" i="46" s="1"/>
  <c r="C18" i="1"/>
  <c r="N23" i="64"/>
  <c r="N23" i="65"/>
  <c r="N23" i="62"/>
  <c r="N23" i="63"/>
  <c r="N23" i="61"/>
  <c r="N23" i="55"/>
  <c r="N23" i="56"/>
  <c r="N23" i="58"/>
  <c r="N23" i="54"/>
  <c r="N23" i="60"/>
  <c r="N23" i="57"/>
  <c r="N23" i="59"/>
  <c r="N23" i="53"/>
  <c r="N23" i="50"/>
  <c r="N23" i="52"/>
  <c r="N23" i="51"/>
  <c r="N23" i="49"/>
  <c r="N23" i="47"/>
  <c r="N23" i="48"/>
  <c r="N23" i="46"/>
  <c r="I13" i="3"/>
  <c r="AS8" i="62" l="1"/>
  <c r="AQ7" i="62"/>
  <c r="AR7" i="62" s="1"/>
  <c r="AS8" i="65"/>
  <c r="AQ7" i="65"/>
  <c r="AR7" i="65" s="1"/>
  <c r="AQ7" i="63"/>
  <c r="AR7" i="63" s="1"/>
  <c r="AS8" i="63"/>
  <c r="Z7" i="65"/>
  <c r="Z8" i="65" s="1"/>
  <c r="Z9" i="65" s="1"/>
  <c r="Z10" i="65" s="1"/>
  <c r="Z11" i="65" s="1"/>
  <c r="Z12" i="65" s="1"/>
  <c r="Z13" i="65" s="1"/>
  <c r="Z14" i="65" s="1"/>
  <c r="Z15" i="65" s="1"/>
  <c r="V6" i="65"/>
  <c r="AS8" i="64"/>
  <c r="AQ7" i="64"/>
  <c r="AR7" i="64" s="1"/>
  <c r="AS8" i="61"/>
  <c r="AQ7" i="61"/>
  <c r="AR7" i="61" s="1"/>
  <c r="AQ7" i="54"/>
  <c r="AR7" i="54" s="1"/>
  <c r="AS8" i="54"/>
  <c r="AS8" i="58"/>
  <c r="AQ7" i="58"/>
  <c r="AR7" i="58" s="1"/>
  <c r="AQ7" i="57"/>
  <c r="AR7" i="57" s="1"/>
  <c r="AS8" i="57"/>
  <c r="AD7" i="55"/>
  <c r="AD8" i="55" s="1"/>
  <c r="AD9" i="55" s="1"/>
  <c r="AD10" i="55" s="1"/>
  <c r="AD11" i="55" s="1"/>
  <c r="AD12" i="55" s="1"/>
  <c r="AD13" i="55" s="1"/>
  <c r="AD14" i="55" s="1"/>
  <c r="AD15" i="55" s="1"/>
  <c r="Z6" i="55"/>
  <c r="Z7" i="54"/>
  <c r="Z8" i="54" s="1"/>
  <c r="Z9" i="54" s="1"/>
  <c r="Z10" i="54" s="1"/>
  <c r="Z11" i="54" s="1"/>
  <c r="Z12" i="54" s="1"/>
  <c r="Z13" i="54" s="1"/>
  <c r="Z14" i="54" s="1"/>
  <c r="Z15" i="54" s="1"/>
  <c r="V6" i="54"/>
  <c r="AS8" i="59"/>
  <c r="AQ7" i="59"/>
  <c r="AR7" i="59" s="1"/>
  <c r="AS8" i="56"/>
  <c r="AQ7" i="56"/>
  <c r="AR7" i="56" s="1"/>
  <c r="AQ7" i="53"/>
  <c r="AR7" i="53" s="1"/>
  <c r="AS8" i="53"/>
  <c r="AS8" i="55"/>
  <c r="AQ7" i="55"/>
  <c r="AR7" i="55" s="1"/>
  <c r="AS8" i="60"/>
  <c r="AQ7" i="60"/>
  <c r="AR7" i="60" s="1"/>
  <c r="Z7" i="49"/>
  <c r="Z8" i="49" s="1"/>
  <c r="Z9" i="49" s="1"/>
  <c r="Z10" i="49" s="1"/>
  <c r="Z11" i="49" s="1"/>
  <c r="Z12" i="49" s="1"/>
  <c r="Z13" i="49" s="1"/>
  <c r="Z14" i="49" s="1"/>
  <c r="Z15" i="49" s="1"/>
  <c r="V6" i="49"/>
  <c r="AQ7" i="50"/>
  <c r="AR7" i="50" s="1"/>
  <c r="AS8" i="50"/>
  <c r="AS8" i="51"/>
  <c r="AQ7" i="51"/>
  <c r="AR7" i="51" s="1"/>
  <c r="AD7" i="50"/>
  <c r="AD8" i="50" s="1"/>
  <c r="AD9" i="50" s="1"/>
  <c r="AD10" i="50" s="1"/>
  <c r="AD11" i="50" s="1"/>
  <c r="AD12" i="50" s="1"/>
  <c r="AD13" i="50" s="1"/>
  <c r="AD14" i="50" s="1"/>
  <c r="AD15" i="50" s="1"/>
  <c r="Z6" i="50"/>
  <c r="AQ7" i="52"/>
  <c r="AR7" i="52" s="1"/>
  <c r="AS8" i="52"/>
  <c r="AQ7" i="49"/>
  <c r="AR7" i="49" s="1"/>
  <c r="AS8" i="49"/>
  <c r="AS8" i="47"/>
  <c r="AQ7" i="47"/>
  <c r="AR7" i="47" s="1"/>
  <c r="Z7" i="48"/>
  <c r="Z8" i="48" s="1"/>
  <c r="Z9" i="48" s="1"/>
  <c r="Z10" i="48" s="1"/>
  <c r="Z11" i="48" s="1"/>
  <c r="Z12" i="48" s="1"/>
  <c r="Z13" i="48" s="1"/>
  <c r="Z14" i="48" s="1"/>
  <c r="Z15" i="48" s="1"/>
  <c r="V6" i="48"/>
  <c r="Z7" i="47"/>
  <c r="Z8" i="47" s="1"/>
  <c r="Z9" i="47" s="1"/>
  <c r="Z10" i="47" s="1"/>
  <c r="Z11" i="47" s="1"/>
  <c r="Z12" i="47" s="1"/>
  <c r="Z13" i="47" s="1"/>
  <c r="Z14" i="47" s="1"/>
  <c r="Z15" i="47" s="1"/>
  <c r="V6" i="47"/>
  <c r="AQ7" i="48"/>
  <c r="AR7" i="48" s="1"/>
  <c r="AS8" i="48"/>
  <c r="AQ7" i="46"/>
  <c r="AR7" i="46" s="1"/>
  <c r="AS8" i="46"/>
  <c r="Z7" i="46"/>
  <c r="Z8" i="46" s="1"/>
  <c r="Z9" i="46" s="1"/>
  <c r="Z10" i="46" s="1"/>
  <c r="Z11" i="46" s="1"/>
  <c r="Z12" i="46" s="1"/>
  <c r="Z13" i="46" s="1"/>
  <c r="Z14" i="46" s="1"/>
  <c r="Z15" i="46" s="1"/>
  <c r="V6" i="46"/>
  <c r="B13" i="1"/>
  <c r="D5" i="1"/>
  <c r="D7" i="1"/>
  <c r="C5" i="1"/>
  <c r="B5" i="1"/>
  <c r="B7" i="1"/>
  <c r="C13" i="1" s="1"/>
  <c r="AQ8" i="61" l="1"/>
  <c r="AR8" i="61" s="1"/>
  <c r="AS9" i="61"/>
  <c r="AQ8" i="65"/>
  <c r="AR8" i="65" s="1"/>
  <c r="AS9" i="65"/>
  <c r="AS9" i="63"/>
  <c r="AQ8" i="63"/>
  <c r="AR8" i="63" s="1"/>
  <c r="V7" i="65"/>
  <c r="V8" i="65" s="1"/>
  <c r="V9" i="65" s="1"/>
  <c r="V10" i="65" s="1"/>
  <c r="V11" i="65" s="1"/>
  <c r="V12" i="65" s="1"/>
  <c r="V13" i="65" s="1"/>
  <c r="V14" i="65" s="1"/>
  <c r="V15" i="65" s="1"/>
  <c r="R6" i="65"/>
  <c r="AS9" i="64"/>
  <c r="AQ8" i="64"/>
  <c r="AR8" i="64" s="1"/>
  <c r="AS9" i="62"/>
  <c r="AQ8" i="62"/>
  <c r="AR8" i="62" s="1"/>
  <c r="Z7" i="55"/>
  <c r="Z8" i="55" s="1"/>
  <c r="Z9" i="55" s="1"/>
  <c r="Z10" i="55" s="1"/>
  <c r="Z11" i="55" s="1"/>
  <c r="Z12" i="55" s="1"/>
  <c r="Z13" i="55" s="1"/>
  <c r="Z14" i="55" s="1"/>
  <c r="Z15" i="55" s="1"/>
  <c r="V6" i="55"/>
  <c r="AQ8" i="60"/>
  <c r="AR8" i="60" s="1"/>
  <c r="AS9" i="60"/>
  <c r="AQ8" i="59"/>
  <c r="AR8" i="59" s="1"/>
  <c r="AS9" i="59"/>
  <c r="AS9" i="58"/>
  <c r="AQ8" i="58"/>
  <c r="AR8" i="58" s="1"/>
  <c r="AQ8" i="53"/>
  <c r="AR8" i="53" s="1"/>
  <c r="AS9" i="53"/>
  <c r="V7" i="54"/>
  <c r="V8" i="54" s="1"/>
  <c r="V9" i="54" s="1"/>
  <c r="V10" i="54" s="1"/>
  <c r="V11" i="54" s="1"/>
  <c r="V12" i="54" s="1"/>
  <c r="V13" i="54" s="1"/>
  <c r="V14" i="54" s="1"/>
  <c r="V15" i="54" s="1"/>
  <c r="R6" i="54"/>
  <c r="AQ8" i="57"/>
  <c r="AR8" i="57" s="1"/>
  <c r="AS9" i="57"/>
  <c r="AQ8" i="54"/>
  <c r="AR8" i="54" s="1"/>
  <c r="AS9" i="54"/>
  <c r="AS9" i="55"/>
  <c r="AQ8" i="55"/>
  <c r="AR8" i="55" s="1"/>
  <c r="AS9" i="56"/>
  <c r="AQ8" i="56"/>
  <c r="AR8" i="56" s="1"/>
  <c r="AQ8" i="49"/>
  <c r="AR8" i="49" s="1"/>
  <c r="AS9" i="49"/>
  <c r="Z7" i="50"/>
  <c r="Z8" i="50" s="1"/>
  <c r="Z9" i="50" s="1"/>
  <c r="Z10" i="50" s="1"/>
  <c r="Z11" i="50" s="1"/>
  <c r="Z12" i="50" s="1"/>
  <c r="Z13" i="50" s="1"/>
  <c r="Z14" i="50" s="1"/>
  <c r="Z15" i="50" s="1"/>
  <c r="V6" i="50"/>
  <c r="AQ8" i="50"/>
  <c r="AR8" i="50" s="1"/>
  <c r="AS9" i="50"/>
  <c r="AQ8" i="52"/>
  <c r="AR8" i="52" s="1"/>
  <c r="AS9" i="52"/>
  <c r="V7" i="49"/>
  <c r="V8" i="49" s="1"/>
  <c r="V9" i="49" s="1"/>
  <c r="V10" i="49" s="1"/>
  <c r="V11" i="49" s="1"/>
  <c r="V12" i="49" s="1"/>
  <c r="V13" i="49" s="1"/>
  <c r="V14" i="49" s="1"/>
  <c r="V15" i="49" s="1"/>
  <c r="R6" i="49"/>
  <c r="AS9" i="51"/>
  <c r="AQ8" i="51"/>
  <c r="AR8" i="51" s="1"/>
  <c r="AQ8" i="48"/>
  <c r="AR8" i="48" s="1"/>
  <c r="AS9" i="48"/>
  <c r="V7" i="48"/>
  <c r="V8" i="48" s="1"/>
  <c r="V9" i="48" s="1"/>
  <c r="V10" i="48" s="1"/>
  <c r="V11" i="48" s="1"/>
  <c r="V12" i="48" s="1"/>
  <c r="V13" i="48" s="1"/>
  <c r="V14" i="48" s="1"/>
  <c r="V15" i="48" s="1"/>
  <c r="R6" i="48"/>
  <c r="V7" i="47"/>
  <c r="V8" i="47" s="1"/>
  <c r="V9" i="47" s="1"/>
  <c r="V10" i="47" s="1"/>
  <c r="V11" i="47" s="1"/>
  <c r="V12" i="47" s="1"/>
  <c r="V13" i="47" s="1"/>
  <c r="V14" i="47" s="1"/>
  <c r="V15" i="47" s="1"/>
  <c r="R6" i="47"/>
  <c r="AS9" i="47"/>
  <c r="AQ8" i="47"/>
  <c r="AR8" i="47" s="1"/>
  <c r="V7" i="46"/>
  <c r="V8" i="46" s="1"/>
  <c r="V9" i="46" s="1"/>
  <c r="V10" i="46" s="1"/>
  <c r="V11" i="46" s="1"/>
  <c r="V12" i="46" s="1"/>
  <c r="V13" i="46" s="1"/>
  <c r="V14" i="46" s="1"/>
  <c r="V15" i="46" s="1"/>
  <c r="R6" i="46"/>
  <c r="AQ8" i="46"/>
  <c r="AR8" i="46" s="1"/>
  <c r="AS9" i="46"/>
  <c r="C11" i="1"/>
  <c r="V19" i="1"/>
  <c r="O13" i="3"/>
  <c r="R7" i="65" l="1"/>
  <c r="R8" i="65" s="1"/>
  <c r="R9" i="65" s="1"/>
  <c r="R10" i="65" s="1"/>
  <c r="R11" i="65" s="1"/>
  <c r="R12" i="65" s="1"/>
  <c r="R13" i="65" s="1"/>
  <c r="R14" i="65" s="1"/>
  <c r="R15" i="65" s="1"/>
  <c r="N6" i="65"/>
  <c r="AQ9" i="65"/>
  <c r="AR9" i="65" s="1"/>
  <c r="AS10" i="65"/>
  <c r="AS10" i="62"/>
  <c r="AQ9" i="62"/>
  <c r="AR9" i="62" s="1"/>
  <c r="AS10" i="61"/>
  <c r="AQ9" i="61"/>
  <c r="AR9" i="61" s="1"/>
  <c r="AS10" i="64"/>
  <c r="AQ9" i="64"/>
  <c r="AR9" i="64" s="1"/>
  <c r="AS10" i="63"/>
  <c r="AQ9" i="63"/>
  <c r="AR9" i="63" s="1"/>
  <c r="AQ9" i="60"/>
  <c r="AR9" i="60" s="1"/>
  <c r="AS10" i="60"/>
  <c r="AS10" i="56"/>
  <c r="AQ9" i="56"/>
  <c r="AR9" i="56" s="1"/>
  <c r="AS10" i="58"/>
  <c r="AQ9" i="58"/>
  <c r="AR9" i="58" s="1"/>
  <c r="AQ9" i="54"/>
  <c r="AR9" i="54" s="1"/>
  <c r="AS10" i="54"/>
  <c r="R7" i="54"/>
  <c r="R8" i="54" s="1"/>
  <c r="R9" i="54" s="1"/>
  <c r="R10" i="54" s="1"/>
  <c r="R11" i="54" s="1"/>
  <c r="R12" i="54" s="1"/>
  <c r="R13" i="54" s="1"/>
  <c r="R14" i="54" s="1"/>
  <c r="R15" i="54" s="1"/>
  <c r="N6" i="54"/>
  <c r="AS10" i="57"/>
  <c r="AQ9" i="57"/>
  <c r="AR9" i="57" s="1"/>
  <c r="AQ9" i="53"/>
  <c r="AR9" i="53" s="1"/>
  <c r="AS10" i="53"/>
  <c r="AQ9" i="59"/>
  <c r="AR9" i="59" s="1"/>
  <c r="AS10" i="59"/>
  <c r="V7" i="55"/>
  <c r="V8" i="55" s="1"/>
  <c r="V9" i="55" s="1"/>
  <c r="V10" i="55" s="1"/>
  <c r="V11" i="55" s="1"/>
  <c r="V12" i="55" s="1"/>
  <c r="V13" i="55" s="1"/>
  <c r="V14" i="55" s="1"/>
  <c r="V15" i="55" s="1"/>
  <c r="R6" i="55"/>
  <c r="AS10" i="55"/>
  <c r="AQ9" i="55"/>
  <c r="AR9" i="55" s="1"/>
  <c r="AQ9" i="52"/>
  <c r="AR9" i="52" s="1"/>
  <c r="AS10" i="52"/>
  <c r="V7" i="50"/>
  <c r="V8" i="50" s="1"/>
  <c r="V9" i="50" s="1"/>
  <c r="V10" i="50" s="1"/>
  <c r="V11" i="50" s="1"/>
  <c r="V12" i="50" s="1"/>
  <c r="V13" i="50" s="1"/>
  <c r="V14" i="50" s="1"/>
  <c r="V15" i="50" s="1"/>
  <c r="R6" i="50"/>
  <c r="AS10" i="51"/>
  <c r="AQ9" i="51"/>
  <c r="AR9" i="51" s="1"/>
  <c r="R7" i="49"/>
  <c r="R8" i="49" s="1"/>
  <c r="R9" i="49" s="1"/>
  <c r="R10" i="49" s="1"/>
  <c r="R11" i="49" s="1"/>
  <c r="R12" i="49" s="1"/>
  <c r="R13" i="49" s="1"/>
  <c r="R14" i="49" s="1"/>
  <c r="R15" i="49" s="1"/>
  <c r="N6" i="49"/>
  <c r="AQ9" i="50"/>
  <c r="AR9" i="50" s="1"/>
  <c r="AS10" i="50"/>
  <c r="AQ9" i="49"/>
  <c r="AR9" i="49" s="1"/>
  <c r="AS10" i="49"/>
  <c r="AS10" i="47"/>
  <c r="AQ9" i="47"/>
  <c r="AR9" i="47" s="1"/>
  <c r="R7" i="47"/>
  <c r="R8" i="47" s="1"/>
  <c r="R9" i="47" s="1"/>
  <c r="R10" i="47" s="1"/>
  <c r="R11" i="47" s="1"/>
  <c r="R12" i="47" s="1"/>
  <c r="R13" i="47" s="1"/>
  <c r="R14" i="47" s="1"/>
  <c r="R15" i="47" s="1"/>
  <c r="N6" i="47"/>
  <c r="AQ9" i="48"/>
  <c r="AR9" i="48" s="1"/>
  <c r="AS10" i="48"/>
  <c r="R7" i="48"/>
  <c r="R8" i="48" s="1"/>
  <c r="R9" i="48" s="1"/>
  <c r="R10" i="48" s="1"/>
  <c r="R11" i="48" s="1"/>
  <c r="R12" i="48" s="1"/>
  <c r="R13" i="48" s="1"/>
  <c r="R14" i="48" s="1"/>
  <c r="R15" i="48" s="1"/>
  <c r="N6" i="48"/>
  <c r="R7" i="46"/>
  <c r="R8" i="46" s="1"/>
  <c r="R9" i="46" s="1"/>
  <c r="R10" i="46" s="1"/>
  <c r="R11" i="46" s="1"/>
  <c r="R12" i="46" s="1"/>
  <c r="R13" i="46" s="1"/>
  <c r="R14" i="46" s="1"/>
  <c r="R15" i="46" s="1"/>
  <c r="N6" i="46"/>
  <c r="AQ9" i="46"/>
  <c r="AR9" i="46" s="1"/>
  <c r="AS10" i="46"/>
  <c r="AD19" i="1"/>
  <c r="AP6" i="1"/>
  <c r="N19" i="1"/>
  <c r="J5" i="3"/>
  <c r="P13" i="3"/>
  <c r="N13" i="3"/>
  <c r="R21" i="1"/>
  <c r="AQ10" i="65" l="1"/>
  <c r="AR10" i="65" s="1"/>
  <c r="AS11" i="65"/>
  <c r="AQ10" i="63"/>
  <c r="AR10" i="63" s="1"/>
  <c r="AS11" i="63"/>
  <c r="AS11" i="61"/>
  <c r="AQ10" i="61"/>
  <c r="AR10" i="61" s="1"/>
  <c r="N7" i="65"/>
  <c r="N8" i="65" s="1"/>
  <c r="N9" i="65" s="1"/>
  <c r="N10" i="65" s="1"/>
  <c r="N11" i="65" s="1"/>
  <c r="N12" i="65" s="1"/>
  <c r="N13" i="65" s="1"/>
  <c r="N14" i="65" s="1"/>
  <c r="N15" i="65" s="1"/>
  <c r="J6" i="65"/>
  <c r="AS11" i="64"/>
  <c r="AQ10" i="64"/>
  <c r="AR10" i="64" s="1"/>
  <c r="AQ10" i="62"/>
  <c r="AR10" i="62" s="1"/>
  <c r="AS11" i="62"/>
  <c r="AQ10" i="54"/>
  <c r="AR10" i="54" s="1"/>
  <c r="AS11" i="54"/>
  <c r="AS11" i="55"/>
  <c r="AQ10" i="55"/>
  <c r="AR10" i="55" s="1"/>
  <c r="AQ10" i="57"/>
  <c r="AR10" i="57" s="1"/>
  <c r="AS11" i="57"/>
  <c r="AS11" i="56"/>
  <c r="AQ10" i="56"/>
  <c r="AR10" i="56" s="1"/>
  <c r="AQ10" i="59"/>
  <c r="AR10" i="59" s="1"/>
  <c r="AS11" i="59"/>
  <c r="R7" i="55"/>
  <c r="R8" i="55" s="1"/>
  <c r="R9" i="55" s="1"/>
  <c r="R10" i="55" s="1"/>
  <c r="R11" i="55" s="1"/>
  <c r="R12" i="55" s="1"/>
  <c r="R13" i="55" s="1"/>
  <c r="R14" i="55" s="1"/>
  <c r="R15" i="55" s="1"/>
  <c r="N6" i="55"/>
  <c r="AQ10" i="53"/>
  <c r="AR10" i="53" s="1"/>
  <c r="AS11" i="53"/>
  <c r="N7" i="54"/>
  <c r="N8" i="54" s="1"/>
  <c r="N9" i="54" s="1"/>
  <c r="N10" i="54" s="1"/>
  <c r="N11" i="54" s="1"/>
  <c r="N12" i="54" s="1"/>
  <c r="N13" i="54" s="1"/>
  <c r="N14" i="54" s="1"/>
  <c r="N15" i="54" s="1"/>
  <c r="J6" i="54"/>
  <c r="AQ10" i="60"/>
  <c r="AR10" i="60" s="1"/>
  <c r="AS11" i="60"/>
  <c r="AS11" i="58"/>
  <c r="AQ10" i="58"/>
  <c r="AR10" i="58" s="1"/>
  <c r="AQ10" i="49"/>
  <c r="AR10" i="49" s="1"/>
  <c r="AS11" i="49"/>
  <c r="N7" i="49"/>
  <c r="N8" i="49" s="1"/>
  <c r="N9" i="49" s="1"/>
  <c r="N10" i="49" s="1"/>
  <c r="N11" i="49" s="1"/>
  <c r="N12" i="49" s="1"/>
  <c r="N13" i="49" s="1"/>
  <c r="N14" i="49" s="1"/>
  <c r="N15" i="49" s="1"/>
  <c r="J6" i="49"/>
  <c r="R7" i="50"/>
  <c r="R8" i="50" s="1"/>
  <c r="R9" i="50" s="1"/>
  <c r="R10" i="50" s="1"/>
  <c r="R11" i="50" s="1"/>
  <c r="R12" i="50" s="1"/>
  <c r="R13" i="50" s="1"/>
  <c r="R14" i="50" s="1"/>
  <c r="R15" i="50" s="1"/>
  <c r="N6" i="50"/>
  <c r="AQ10" i="50"/>
  <c r="AR10" i="50" s="1"/>
  <c r="AS11" i="50"/>
  <c r="AQ10" i="52"/>
  <c r="AR10" i="52" s="1"/>
  <c r="AS11" i="52"/>
  <c r="AQ10" i="51"/>
  <c r="AR10" i="51" s="1"/>
  <c r="AS11" i="51"/>
  <c r="N7" i="48"/>
  <c r="N8" i="48" s="1"/>
  <c r="N9" i="48" s="1"/>
  <c r="N10" i="48" s="1"/>
  <c r="N11" i="48" s="1"/>
  <c r="N12" i="48" s="1"/>
  <c r="N13" i="48" s="1"/>
  <c r="N14" i="48" s="1"/>
  <c r="N15" i="48" s="1"/>
  <c r="J6" i="48"/>
  <c r="N7" i="47"/>
  <c r="N8" i="47" s="1"/>
  <c r="N9" i="47" s="1"/>
  <c r="N10" i="47" s="1"/>
  <c r="N11" i="47" s="1"/>
  <c r="N12" i="47" s="1"/>
  <c r="N13" i="47" s="1"/>
  <c r="N14" i="47" s="1"/>
  <c r="N15" i="47" s="1"/>
  <c r="J6" i="47"/>
  <c r="AQ10" i="48"/>
  <c r="AR10" i="48" s="1"/>
  <c r="AS11" i="48"/>
  <c r="AS11" i="47"/>
  <c r="AQ10" i="47"/>
  <c r="AR10" i="47" s="1"/>
  <c r="N7" i="46"/>
  <c r="N8" i="46" s="1"/>
  <c r="N9" i="46" s="1"/>
  <c r="N10" i="46" s="1"/>
  <c r="N11" i="46" s="1"/>
  <c r="N12" i="46" s="1"/>
  <c r="N13" i="46" s="1"/>
  <c r="N14" i="46" s="1"/>
  <c r="N15" i="46" s="1"/>
  <c r="J6" i="46"/>
  <c r="AQ10" i="46"/>
  <c r="AR10" i="46" s="1"/>
  <c r="AS11" i="46"/>
  <c r="AP7" i="1"/>
  <c r="AP8" i="1" s="1"/>
  <c r="AP9" i="1" s="1"/>
  <c r="AP10" i="1" s="1"/>
  <c r="AP11" i="1" s="1"/>
  <c r="AP12" i="1" s="1"/>
  <c r="AP13" i="1" s="1"/>
  <c r="AP14" i="1" s="1"/>
  <c r="AP15" i="1" s="1"/>
  <c r="AS6" i="1"/>
  <c r="AQ6" i="1" s="1"/>
  <c r="AR6" i="1" s="1"/>
  <c r="F19" i="1"/>
  <c r="AL6" i="1"/>
  <c r="AH6" i="1" s="1"/>
  <c r="AD6" i="1" s="1"/>
  <c r="Z6" i="1" s="1"/>
  <c r="V6" i="1" s="1"/>
  <c r="R6" i="1" s="1"/>
  <c r="N6" i="1" s="1"/>
  <c r="J6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N5" i="3"/>
  <c r="F5" i="3"/>
  <c r="S13" i="3"/>
  <c r="M13" i="3"/>
  <c r="AL19" i="1"/>
  <c r="J7" i="65" l="1"/>
  <c r="J8" i="65" s="1"/>
  <c r="J9" i="65" s="1"/>
  <c r="J10" i="65" s="1"/>
  <c r="J11" i="65" s="1"/>
  <c r="J12" i="65" s="1"/>
  <c r="J13" i="65" s="1"/>
  <c r="J14" i="65" s="1"/>
  <c r="J15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AQ11" i="63"/>
  <c r="AR11" i="63" s="1"/>
  <c r="AS12" i="63"/>
  <c r="AQ11" i="62"/>
  <c r="AR11" i="62" s="1"/>
  <c r="AS12" i="62"/>
  <c r="AQ11" i="65"/>
  <c r="AR11" i="65" s="1"/>
  <c r="AS12" i="65"/>
  <c r="AQ11" i="64"/>
  <c r="AR11" i="64" s="1"/>
  <c r="AS12" i="64"/>
  <c r="AS12" i="61"/>
  <c r="AQ11" i="61"/>
  <c r="AR11" i="61" s="1"/>
  <c r="J7" i="54"/>
  <c r="J8" i="54" s="1"/>
  <c r="J9" i="54" s="1"/>
  <c r="J10" i="54" s="1"/>
  <c r="J11" i="54" s="1"/>
  <c r="J12" i="54" s="1"/>
  <c r="J13" i="54" s="1"/>
  <c r="J14" i="54" s="1"/>
  <c r="J15" i="54" s="1"/>
  <c r="F6" i="54"/>
  <c r="F7" i="54" s="1"/>
  <c r="F8" i="54" s="1"/>
  <c r="F9" i="54" s="1"/>
  <c r="F10" i="54" s="1"/>
  <c r="F11" i="54" s="1"/>
  <c r="F12" i="54" s="1"/>
  <c r="F13" i="54" s="1"/>
  <c r="F14" i="54" s="1"/>
  <c r="F15" i="54" s="1"/>
  <c r="N7" i="55"/>
  <c r="N8" i="55" s="1"/>
  <c r="N9" i="55" s="1"/>
  <c r="N10" i="55" s="1"/>
  <c r="N11" i="55" s="1"/>
  <c r="N12" i="55" s="1"/>
  <c r="N13" i="55" s="1"/>
  <c r="N14" i="55" s="1"/>
  <c r="N15" i="55" s="1"/>
  <c r="J6" i="55"/>
  <c r="AS12" i="58"/>
  <c r="AQ11" i="58"/>
  <c r="AR11" i="58" s="1"/>
  <c r="AQ11" i="56"/>
  <c r="AR11" i="56" s="1"/>
  <c r="AS12" i="56"/>
  <c r="AS12" i="55"/>
  <c r="AQ11" i="55"/>
  <c r="AR11" i="55" s="1"/>
  <c r="AQ11" i="60"/>
  <c r="AR11" i="60" s="1"/>
  <c r="AS12" i="60"/>
  <c r="AQ11" i="53"/>
  <c r="AR11" i="53" s="1"/>
  <c r="AS12" i="53"/>
  <c r="AS12" i="59"/>
  <c r="AQ11" i="59"/>
  <c r="AR11" i="59" s="1"/>
  <c r="AQ11" i="57"/>
  <c r="AR11" i="57" s="1"/>
  <c r="AS12" i="57"/>
  <c r="AS12" i="54"/>
  <c r="AQ11" i="54"/>
  <c r="AR11" i="54" s="1"/>
  <c r="AQ11" i="51"/>
  <c r="AR11" i="51" s="1"/>
  <c r="AS12" i="51"/>
  <c r="AS12" i="50"/>
  <c r="AQ11" i="50"/>
  <c r="AR11" i="50" s="1"/>
  <c r="J7" i="49"/>
  <c r="J8" i="49" s="1"/>
  <c r="J9" i="49" s="1"/>
  <c r="J10" i="49" s="1"/>
  <c r="J11" i="49" s="1"/>
  <c r="J12" i="49" s="1"/>
  <c r="J13" i="49" s="1"/>
  <c r="J14" i="49" s="1"/>
  <c r="J15" i="49" s="1"/>
  <c r="F6" i="49"/>
  <c r="F7" i="49" s="1"/>
  <c r="F8" i="49" s="1"/>
  <c r="F9" i="49" s="1"/>
  <c r="F10" i="49" s="1"/>
  <c r="F11" i="49" s="1"/>
  <c r="F12" i="49" s="1"/>
  <c r="F13" i="49" s="1"/>
  <c r="F14" i="49" s="1"/>
  <c r="F15" i="49" s="1"/>
  <c r="AQ11" i="52"/>
  <c r="AR11" i="52" s="1"/>
  <c r="AS12" i="52"/>
  <c r="N7" i="50"/>
  <c r="N8" i="50" s="1"/>
  <c r="N9" i="50" s="1"/>
  <c r="N10" i="50" s="1"/>
  <c r="N11" i="50" s="1"/>
  <c r="N12" i="50" s="1"/>
  <c r="N13" i="50" s="1"/>
  <c r="N14" i="50" s="1"/>
  <c r="N15" i="50" s="1"/>
  <c r="J6" i="50"/>
  <c r="AQ11" i="49"/>
  <c r="AR11" i="49" s="1"/>
  <c r="AS12" i="49"/>
  <c r="J7" i="47"/>
  <c r="J8" i="47" s="1"/>
  <c r="J9" i="47" s="1"/>
  <c r="J10" i="47" s="1"/>
  <c r="J11" i="47" s="1"/>
  <c r="J12" i="47" s="1"/>
  <c r="J13" i="47" s="1"/>
  <c r="J14" i="47" s="1"/>
  <c r="J15" i="47" s="1"/>
  <c r="F6" i="47"/>
  <c r="F7" i="47" s="1"/>
  <c r="F8" i="47" s="1"/>
  <c r="F9" i="47" s="1"/>
  <c r="F10" i="47" s="1"/>
  <c r="F11" i="47" s="1"/>
  <c r="F12" i="47" s="1"/>
  <c r="F13" i="47" s="1"/>
  <c r="F14" i="47" s="1"/>
  <c r="F15" i="47" s="1"/>
  <c r="AS12" i="47"/>
  <c r="AQ11" i="47"/>
  <c r="AR11" i="47" s="1"/>
  <c r="AQ11" i="48"/>
  <c r="AR11" i="48" s="1"/>
  <c r="AS12" i="48"/>
  <c r="J7" i="48"/>
  <c r="J8" i="48" s="1"/>
  <c r="J9" i="48" s="1"/>
  <c r="J10" i="48" s="1"/>
  <c r="J11" i="48" s="1"/>
  <c r="J12" i="48" s="1"/>
  <c r="J13" i="48" s="1"/>
  <c r="J14" i="48" s="1"/>
  <c r="J15" i="48" s="1"/>
  <c r="F6" i="48"/>
  <c r="F7" i="48" s="1"/>
  <c r="F8" i="48" s="1"/>
  <c r="F9" i="48" s="1"/>
  <c r="F10" i="48" s="1"/>
  <c r="F11" i="48" s="1"/>
  <c r="F12" i="48" s="1"/>
  <c r="F13" i="48" s="1"/>
  <c r="F14" i="48" s="1"/>
  <c r="F15" i="48" s="1"/>
  <c r="AQ11" i="46"/>
  <c r="AR11" i="46" s="1"/>
  <c r="AS12" i="46"/>
  <c r="J7" i="46"/>
  <c r="J8" i="46" s="1"/>
  <c r="J9" i="46" s="1"/>
  <c r="J10" i="46" s="1"/>
  <c r="J11" i="46" s="1"/>
  <c r="J12" i="46" s="1"/>
  <c r="J13" i="46" s="1"/>
  <c r="J14" i="46" s="1"/>
  <c r="J15" i="46" s="1"/>
  <c r="F6" i="46"/>
  <c r="F7" i="46" s="1"/>
  <c r="F8" i="46" s="1"/>
  <c r="F9" i="46" s="1"/>
  <c r="F10" i="46" s="1"/>
  <c r="F11" i="46" s="1"/>
  <c r="F12" i="46" s="1"/>
  <c r="F13" i="46" s="1"/>
  <c r="F14" i="46" s="1"/>
  <c r="F15" i="46" s="1"/>
  <c r="AH7" i="1"/>
  <c r="AH8" i="1" s="1"/>
  <c r="AH9" i="1" s="1"/>
  <c r="AH10" i="1" s="1"/>
  <c r="AH11" i="1" s="1"/>
  <c r="AH12" i="1" s="1"/>
  <c r="AH13" i="1" s="1"/>
  <c r="AH14" i="1" s="1"/>
  <c r="AH15" i="1" s="1"/>
  <c r="R7" i="1"/>
  <c r="R8" i="1" s="1"/>
  <c r="R9" i="1" s="1"/>
  <c r="R10" i="1" s="1"/>
  <c r="R11" i="1" s="1"/>
  <c r="R12" i="1" s="1"/>
  <c r="R13" i="1" s="1"/>
  <c r="R14" i="1" s="1"/>
  <c r="R15" i="1" s="1"/>
  <c r="Z7" i="1"/>
  <c r="Z8" i="1" s="1"/>
  <c r="Z9" i="1" s="1"/>
  <c r="Z10" i="1" s="1"/>
  <c r="Z11" i="1" s="1"/>
  <c r="Z12" i="1" s="1"/>
  <c r="Z13" i="1" s="1"/>
  <c r="Z14" i="1" s="1"/>
  <c r="Z15" i="1" s="1"/>
  <c r="J7" i="1"/>
  <c r="J8" i="1" s="1"/>
  <c r="J9" i="1" s="1"/>
  <c r="J10" i="1" s="1"/>
  <c r="J11" i="1" s="1"/>
  <c r="J12" i="1" s="1"/>
  <c r="J13" i="1" s="1"/>
  <c r="J14" i="1" s="1"/>
  <c r="J15" i="1" s="1"/>
  <c r="AL7" i="1"/>
  <c r="AL8" i="1" s="1"/>
  <c r="AL9" i="1" s="1"/>
  <c r="AL10" i="1" s="1"/>
  <c r="AL11" i="1" s="1"/>
  <c r="AL12" i="1" s="1"/>
  <c r="AL13" i="1" s="1"/>
  <c r="AL14" i="1" s="1"/>
  <c r="AL15" i="1" s="1"/>
  <c r="N7" i="1"/>
  <c r="N8" i="1" s="1"/>
  <c r="N9" i="1" s="1"/>
  <c r="N10" i="1" s="1"/>
  <c r="N11" i="1" s="1"/>
  <c r="N12" i="1" s="1"/>
  <c r="N13" i="1" s="1"/>
  <c r="N14" i="1" s="1"/>
  <c r="N15" i="1" s="1"/>
  <c r="V7" i="1"/>
  <c r="V8" i="1" s="1"/>
  <c r="V9" i="1" s="1"/>
  <c r="V10" i="1" s="1"/>
  <c r="V11" i="1" s="1"/>
  <c r="V12" i="1" s="1"/>
  <c r="V13" i="1" s="1"/>
  <c r="V14" i="1" s="1"/>
  <c r="V15" i="1" s="1"/>
  <c r="AD7" i="1"/>
  <c r="AD8" i="1" s="1"/>
  <c r="AD9" i="1" s="1"/>
  <c r="AD10" i="1" s="1"/>
  <c r="AD11" i="1" s="1"/>
  <c r="AD12" i="1" s="1"/>
  <c r="AD13" i="1" s="1"/>
  <c r="AD14" i="1" s="1"/>
  <c r="AD15" i="1" s="1"/>
  <c r="H7" i="3"/>
  <c r="B5" i="3"/>
  <c r="Q13" i="3"/>
  <c r="J21" i="1"/>
  <c r="AS13" i="65" l="1"/>
  <c r="AQ12" i="65"/>
  <c r="AR12" i="65" s="1"/>
  <c r="AS13" i="61"/>
  <c r="AQ12" i="61"/>
  <c r="AR12" i="61" s="1"/>
  <c r="AS13" i="63"/>
  <c r="AQ12" i="63"/>
  <c r="AR12" i="63" s="1"/>
  <c r="AS13" i="64"/>
  <c r="AQ12" i="64"/>
  <c r="AR12" i="64" s="1"/>
  <c r="AS13" i="62"/>
  <c r="AQ12" i="62"/>
  <c r="AR12" i="62" s="1"/>
  <c r="AS13" i="56"/>
  <c r="AQ12" i="56"/>
  <c r="AR12" i="56" s="1"/>
  <c r="AQ12" i="54"/>
  <c r="AR12" i="54" s="1"/>
  <c r="AS13" i="54"/>
  <c r="AS13" i="59"/>
  <c r="AQ12" i="59"/>
  <c r="AR12" i="59" s="1"/>
  <c r="AS13" i="60"/>
  <c r="AQ12" i="60"/>
  <c r="AR12" i="60" s="1"/>
  <c r="J7" i="55"/>
  <c r="J8" i="55" s="1"/>
  <c r="J9" i="55" s="1"/>
  <c r="J10" i="55" s="1"/>
  <c r="J11" i="55" s="1"/>
  <c r="J12" i="55" s="1"/>
  <c r="J13" i="55" s="1"/>
  <c r="J14" i="55" s="1"/>
  <c r="J15" i="55" s="1"/>
  <c r="F6" i="55"/>
  <c r="F7" i="55" s="1"/>
  <c r="F8" i="55" s="1"/>
  <c r="F9" i="55" s="1"/>
  <c r="F10" i="55" s="1"/>
  <c r="F11" i="55" s="1"/>
  <c r="F12" i="55" s="1"/>
  <c r="F13" i="55" s="1"/>
  <c r="F14" i="55" s="1"/>
  <c r="F15" i="55" s="1"/>
  <c r="AS13" i="57"/>
  <c r="AQ12" i="57"/>
  <c r="AR12" i="57" s="1"/>
  <c r="AS13" i="53"/>
  <c r="AQ12" i="53"/>
  <c r="AR12" i="53" s="1"/>
  <c r="AQ12" i="55"/>
  <c r="AR12" i="55" s="1"/>
  <c r="AS13" i="55"/>
  <c r="AS13" i="58"/>
  <c r="AQ12" i="58"/>
  <c r="AR12" i="58" s="1"/>
  <c r="AS13" i="50"/>
  <c r="AQ12" i="50"/>
  <c r="AR12" i="50" s="1"/>
  <c r="J7" i="50"/>
  <c r="J8" i="50" s="1"/>
  <c r="J9" i="50" s="1"/>
  <c r="J10" i="50" s="1"/>
  <c r="J11" i="50" s="1"/>
  <c r="J12" i="50" s="1"/>
  <c r="J13" i="50" s="1"/>
  <c r="J14" i="50" s="1"/>
  <c r="J15" i="50" s="1"/>
  <c r="F6" i="50"/>
  <c r="F7" i="50" s="1"/>
  <c r="F8" i="50" s="1"/>
  <c r="F9" i="50" s="1"/>
  <c r="F10" i="50" s="1"/>
  <c r="F11" i="50" s="1"/>
  <c r="F12" i="50" s="1"/>
  <c r="F13" i="50" s="1"/>
  <c r="F14" i="50" s="1"/>
  <c r="F15" i="50" s="1"/>
  <c r="AQ12" i="51"/>
  <c r="AR12" i="51" s="1"/>
  <c r="AS13" i="51"/>
  <c r="AQ12" i="49"/>
  <c r="AR12" i="49" s="1"/>
  <c r="AS13" i="49"/>
  <c r="AS13" i="52"/>
  <c r="AQ12" i="52"/>
  <c r="AR12" i="52" s="1"/>
  <c r="AQ12" i="47"/>
  <c r="AR12" i="47" s="1"/>
  <c r="AS13" i="47"/>
  <c r="AS13" i="48"/>
  <c r="AQ12" i="48"/>
  <c r="AR12" i="48" s="1"/>
  <c r="AS13" i="46"/>
  <c r="AQ12" i="46"/>
  <c r="AR12" i="46" s="1"/>
  <c r="AS7" i="1"/>
  <c r="R5" i="3"/>
  <c r="R13" i="3"/>
  <c r="N23" i="1"/>
  <c r="AQ13" i="64" l="1"/>
  <c r="AR13" i="64" s="1"/>
  <c r="AS14" i="64"/>
  <c r="AQ13" i="61"/>
  <c r="AR13" i="61" s="1"/>
  <c r="AS14" i="61"/>
  <c r="AS14" i="62"/>
  <c r="AQ13" i="62"/>
  <c r="AR13" i="62" s="1"/>
  <c r="AS14" i="63"/>
  <c r="AQ13" i="63"/>
  <c r="AR13" i="63" s="1"/>
  <c r="AS14" i="65"/>
  <c r="AQ13" i="65"/>
  <c r="AR13" i="65" s="1"/>
  <c r="AQ13" i="55"/>
  <c r="AR13" i="55" s="1"/>
  <c r="AS14" i="55"/>
  <c r="AQ13" i="54"/>
  <c r="AR13" i="54" s="1"/>
  <c r="AS14" i="54"/>
  <c r="AQ13" i="57"/>
  <c r="AR13" i="57" s="1"/>
  <c r="AS14" i="57"/>
  <c r="AS14" i="60"/>
  <c r="AQ13" i="60"/>
  <c r="AR13" i="60" s="1"/>
  <c r="AQ13" i="58"/>
  <c r="AR13" i="58" s="1"/>
  <c r="AS14" i="58"/>
  <c r="AS14" i="53"/>
  <c r="AQ13" i="53"/>
  <c r="AR13" i="53" s="1"/>
  <c r="AS14" i="59"/>
  <c r="AQ13" i="59"/>
  <c r="AR13" i="59" s="1"/>
  <c r="AS14" i="56"/>
  <c r="AQ13" i="56"/>
  <c r="AR13" i="56" s="1"/>
  <c r="AS14" i="49"/>
  <c r="AQ13" i="49"/>
  <c r="AR13" i="49" s="1"/>
  <c r="AS14" i="51"/>
  <c r="AQ13" i="51"/>
  <c r="AR13" i="51" s="1"/>
  <c r="AS14" i="52"/>
  <c r="AQ13" i="52"/>
  <c r="AR13" i="52" s="1"/>
  <c r="AQ13" i="50"/>
  <c r="AR13" i="50" s="1"/>
  <c r="AS14" i="50"/>
  <c r="AS14" i="48"/>
  <c r="AQ13" i="48"/>
  <c r="AR13" i="48" s="1"/>
  <c r="AQ13" i="47"/>
  <c r="AR13" i="47" s="1"/>
  <c r="AS14" i="47"/>
  <c r="AS14" i="46"/>
  <c r="AQ13" i="46"/>
  <c r="AR13" i="46" s="1"/>
  <c r="AS8" i="1"/>
  <c r="AS9" i="1" s="1"/>
  <c r="AS10" i="1" s="1"/>
  <c r="AS11" i="1" s="1"/>
  <c r="AS12" i="1" s="1"/>
  <c r="AS13" i="1" s="1"/>
  <c r="AS14" i="1" s="1"/>
  <c r="AS15" i="1" s="1"/>
  <c r="AO6" i="1" s="1"/>
  <c r="AQ7" i="1"/>
  <c r="AR7" i="1" s="1"/>
  <c r="D7" i="3"/>
  <c r="T13" i="3"/>
  <c r="AQ14" i="61" l="1"/>
  <c r="AR14" i="61" s="1"/>
  <c r="AS15" i="61"/>
  <c r="AS15" i="63"/>
  <c r="AQ14" i="63"/>
  <c r="AR14" i="63" s="1"/>
  <c r="AS15" i="64"/>
  <c r="AQ14" i="64"/>
  <c r="AR14" i="64" s="1"/>
  <c r="AS15" i="65"/>
  <c r="AQ14" i="65"/>
  <c r="AR14" i="65" s="1"/>
  <c r="AS15" i="62"/>
  <c r="AQ14" i="62"/>
  <c r="AR14" i="62" s="1"/>
  <c r="AS15" i="56"/>
  <c r="AQ14" i="56"/>
  <c r="AR14" i="56" s="1"/>
  <c r="AS15" i="53"/>
  <c r="AQ14" i="53"/>
  <c r="AR14" i="53" s="1"/>
  <c r="AS15" i="60"/>
  <c r="AQ14" i="60"/>
  <c r="AR14" i="60" s="1"/>
  <c r="AQ14" i="54"/>
  <c r="AR14" i="54" s="1"/>
  <c r="AS15" i="54"/>
  <c r="AQ14" i="58"/>
  <c r="AR14" i="58" s="1"/>
  <c r="AS15" i="58"/>
  <c r="AS15" i="57"/>
  <c r="AQ14" i="57"/>
  <c r="AR14" i="57" s="1"/>
  <c r="AQ14" i="55"/>
  <c r="AR14" i="55" s="1"/>
  <c r="AS15" i="55"/>
  <c r="AS15" i="59"/>
  <c r="AQ14" i="59"/>
  <c r="AR14" i="59" s="1"/>
  <c r="AQ14" i="50"/>
  <c r="AR14" i="50" s="1"/>
  <c r="AS15" i="50"/>
  <c r="AQ14" i="51"/>
  <c r="AR14" i="51" s="1"/>
  <c r="AS15" i="51"/>
  <c r="AS15" i="52"/>
  <c r="AQ14" i="52"/>
  <c r="AR14" i="52" s="1"/>
  <c r="AS15" i="49"/>
  <c r="AQ14" i="49"/>
  <c r="AR14" i="49" s="1"/>
  <c r="AQ14" i="47"/>
  <c r="AR14" i="47" s="1"/>
  <c r="AS15" i="47"/>
  <c r="AS15" i="48"/>
  <c r="AQ14" i="48"/>
  <c r="AR14" i="48" s="1"/>
  <c r="AS15" i="46"/>
  <c r="AQ14" i="46"/>
  <c r="AR14" i="46" s="1"/>
  <c r="AQ8" i="1"/>
  <c r="AR8" i="1" s="1"/>
  <c r="AO7" i="1"/>
  <c r="F9" i="3"/>
  <c r="AO6" i="65" l="1"/>
  <c r="AQ15" i="65"/>
  <c r="AR15" i="65" s="1"/>
  <c r="AO6" i="63"/>
  <c r="AQ15" i="63"/>
  <c r="AR15" i="63" s="1"/>
  <c r="AQ15" i="61"/>
  <c r="AR15" i="61" s="1"/>
  <c r="AO6" i="61"/>
  <c r="AQ15" i="62"/>
  <c r="AR15" i="62" s="1"/>
  <c r="AO6" i="62"/>
  <c r="AQ15" i="64"/>
  <c r="AR15" i="64" s="1"/>
  <c r="AO6" i="64"/>
  <c r="AQ15" i="59"/>
  <c r="AR15" i="59" s="1"/>
  <c r="AO6" i="59"/>
  <c r="AQ15" i="57"/>
  <c r="AR15" i="57" s="1"/>
  <c r="AO6" i="57"/>
  <c r="AQ15" i="53"/>
  <c r="AR15" i="53" s="1"/>
  <c r="AO6" i="53"/>
  <c r="AQ15" i="55"/>
  <c r="AR15" i="55" s="1"/>
  <c r="AO6" i="55"/>
  <c r="AQ15" i="58"/>
  <c r="AR15" i="58" s="1"/>
  <c r="AO6" i="58"/>
  <c r="AO6" i="54"/>
  <c r="AQ15" i="54"/>
  <c r="AR15" i="54" s="1"/>
  <c r="AO6" i="60"/>
  <c r="AQ15" i="60"/>
  <c r="AR15" i="60" s="1"/>
  <c r="AQ15" i="56"/>
  <c r="AR15" i="56" s="1"/>
  <c r="AO6" i="56"/>
  <c r="AQ15" i="51"/>
  <c r="AR15" i="51" s="1"/>
  <c r="AO6" i="51"/>
  <c r="AO6" i="50"/>
  <c r="AQ15" i="50"/>
  <c r="AR15" i="50" s="1"/>
  <c r="AQ15" i="49"/>
  <c r="AR15" i="49" s="1"/>
  <c r="AO6" i="49"/>
  <c r="AQ15" i="52"/>
  <c r="AR15" i="52" s="1"/>
  <c r="AO6" i="52"/>
  <c r="AQ15" i="48"/>
  <c r="AR15" i="48" s="1"/>
  <c r="AO6" i="48"/>
  <c r="AQ15" i="47"/>
  <c r="AR15" i="47" s="1"/>
  <c r="AO6" i="47"/>
  <c r="AO6" i="46"/>
  <c r="AQ15" i="46"/>
  <c r="AR15" i="46" s="1"/>
  <c r="AO8" i="1"/>
  <c r="AQ9" i="1"/>
  <c r="AR9" i="1" s="1"/>
  <c r="AM6" i="63" l="1"/>
  <c r="AN6" i="63" s="1"/>
  <c r="AO7" i="63"/>
  <c r="AO7" i="62"/>
  <c r="AM6" i="62"/>
  <c r="AN6" i="62" s="1"/>
  <c r="AO7" i="64"/>
  <c r="AM6" i="64"/>
  <c r="AN6" i="64" s="1"/>
  <c r="AO7" i="61"/>
  <c r="AM6" i="61"/>
  <c r="AN6" i="61" s="1"/>
  <c r="AM6" i="65"/>
  <c r="AN6" i="65" s="1"/>
  <c r="AO7" i="65"/>
  <c r="AO7" i="56"/>
  <c r="AM6" i="56"/>
  <c r="AN6" i="56" s="1"/>
  <c r="AO7" i="55"/>
  <c r="AM6" i="55"/>
  <c r="AN6" i="55" s="1"/>
  <c r="AO7" i="57"/>
  <c r="AM6" i="57"/>
  <c r="AN6" i="57" s="1"/>
  <c r="AM6" i="54"/>
  <c r="AN6" i="54" s="1"/>
  <c r="AO7" i="54"/>
  <c r="AO7" i="58"/>
  <c r="AM6" i="58"/>
  <c r="AN6" i="58" s="1"/>
  <c r="AO7" i="53"/>
  <c r="AM6" i="53"/>
  <c r="AN6" i="53" s="1"/>
  <c r="AO7" i="59"/>
  <c r="AM6" i="59"/>
  <c r="AN6" i="59" s="1"/>
  <c r="AO7" i="60"/>
  <c r="AM6" i="60"/>
  <c r="AN6" i="60" s="1"/>
  <c r="AM6" i="50"/>
  <c r="AN6" i="50" s="1"/>
  <c r="AO7" i="50"/>
  <c r="AO7" i="49"/>
  <c r="AM6" i="49"/>
  <c r="AN6" i="49" s="1"/>
  <c r="AM6" i="51"/>
  <c r="AN6" i="51" s="1"/>
  <c r="AO7" i="51"/>
  <c r="AM6" i="52"/>
  <c r="AN6" i="52" s="1"/>
  <c r="AO7" i="52"/>
  <c r="AO7" i="47"/>
  <c r="AM6" i="47"/>
  <c r="AN6" i="47" s="1"/>
  <c r="AM6" i="48"/>
  <c r="AN6" i="48" s="1"/>
  <c r="AO7" i="48"/>
  <c r="AM6" i="46"/>
  <c r="AN6" i="46" s="1"/>
  <c r="AO7" i="46"/>
  <c r="AQ10" i="1"/>
  <c r="AR10" i="1" s="1"/>
  <c r="AO9" i="1"/>
  <c r="AO10" i="1" s="1"/>
  <c r="AO11" i="1" s="1"/>
  <c r="AO12" i="1" s="1"/>
  <c r="AO13" i="1" s="1"/>
  <c r="AO14" i="1" s="1"/>
  <c r="AO15" i="1" s="1"/>
  <c r="AK6" i="1" s="1"/>
  <c r="AM7" i="61" l="1"/>
  <c r="AN7" i="61" s="1"/>
  <c r="AO8" i="61"/>
  <c r="AO8" i="62"/>
  <c r="AM7" i="62"/>
  <c r="AN7" i="62" s="1"/>
  <c r="AM7" i="65"/>
  <c r="AN7" i="65" s="1"/>
  <c r="AO8" i="65"/>
  <c r="AM7" i="63"/>
  <c r="AN7" i="63" s="1"/>
  <c r="AO8" i="63"/>
  <c r="AO8" i="64"/>
  <c r="AM7" i="64"/>
  <c r="AN7" i="64" s="1"/>
  <c r="AM7" i="60"/>
  <c r="AN7" i="60" s="1"/>
  <c r="AO8" i="60"/>
  <c r="AM7" i="53"/>
  <c r="AN7" i="53" s="1"/>
  <c r="AO8" i="53"/>
  <c r="AO8" i="55"/>
  <c r="AM7" i="55"/>
  <c r="AN7" i="55" s="1"/>
  <c r="AM7" i="54"/>
  <c r="AN7" i="54" s="1"/>
  <c r="AO8" i="54"/>
  <c r="AO8" i="59"/>
  <c r="AM7" i="59"/>
  <c r="AN7" i="59" s="1"/>
  <c r="AO8" i="58"/>
  <c r="AM7" i="58"/>
  <c r="AN7" i="58" s="1"/>
  <c r="AM7" i="57"/>
  <c r="AN7" i="57" s="1"/>
  <c r="AO8" i="57"/>
  <c r="AO8" i="56"/>
  <c r="AM7" i="56"/>
  <c r="AN7" i="56" s="1"/>
  <c r="AM7" i="52"/>
  <c r="AN7" i="52" s="1"/>
  <c r="AO8" i="52"/>
  <c r="AM7" i="49"/>
  <c r="AN7" i="49" s="1"/>
  <c r="AO8" i="49"/>
  <c r="AO8" i="51"/>
  <c r="AM7" i="51"/>
  <c r="AN7" i="51" s="1"/>
  <c r="AM7" i="50"/>
  <c r="AN7" i="50" s="1"/>
  <c r="AO8" i="50"/>
  <c r="AM7" i="48"/>
  <c r="AN7" i="48" s="1"/>
  <c r="AO8" i="48"/>
  <c r="AO8" i="47"/>
  <c r="AM7" i="47"/>
  <c r="AN7" i="47" s="1"/>
  <c r="AM7" i="46"/>
  <c r="AN7" i="46" s="1"/>
  <c r="AO8" i="46"/>
  <c r="AK7" i="1"/>
  <c r="AK8" i="1" s="1"/>
  <c r="AK9" i="1" s="1"/>
  <c r="AK10" i="1" s="1"/>
  <c r="AK11" i="1" s="1"/>
  <c r="AK12" i="1" s="1"/>
  <c r="AK13" i="1" s="1"/>
  <c r="AK14" i="1" s="1"/>
  <c r="AK15" i="1" s="1"/>
  <c r="AG6" i="1" s="1"/>
  <c r="AQ11" i="1"/>
  <c r="AR11" i="1" s="1"/>
  <c r="AO9" i="62" l="1"/>
  <c r="AM8" i="62"/>
  <c r="AN8" i="62" s="1"/>
  <c r="AO9" i="63"/>
  <c r="AM8" i="63"/>
  <c r="AN8" i="63" s="1"/>
  <c r="AM8" i="65"/>
  <c r="AN8" i="65" s="1"/>
  <c r="AO9" i="65"/>
  <c r="AO9" i="61"/>
  <c r="AM8" i="61"/>
  <c r="AN8" i="61" s="1"/>
  <c r="AO9" i="64"/>
  <c r="AM8" i="64"/>
  <c r="AN8" i="64" s="1"/>
  <c r="AO9" i="56"/>
  <c r="AM8" i="56"/>
  <c r="AN8" i="56" s="1"/>
  <c r="AO9" i="58"/>
  <c r="AM8" i="58"/>
  <c r="AN8" i="58" s="1"/>
  <c r="AM8" i="54"/>
  <c r="AN8" i="54" s="1"/>
  <c r="AO9" i="54"/>
  <c r="AM8" i="53"/>
  <c r="AN8" i="53" s="1"/>
  <c r="AO9" i="53"/>
  <c r="AM8" i="57"/>
  <c r="AN8" i="57" s="1"/>
  <c r="AO9" i="57"/>
  <c r="AM8" i="60"/>
  <c r="AN8" i="60" s="1"/>
  <c r="AO9" i="60"/>
  <c r="AM8" i="59"/>
  <c r="AN8" i="59" s="1"/>
  <c r="AO9" i="59"/>
  <c r="AO9" i="55"/>
  <c r="AM8" i="55"/>
  <c r="AN8" i="55" s="1"/>
  <c r="AM8" i="50"/>
  <c r="AN8" i="50" s="1"/>
  <c r="AO9" i="50"/>
  <c r="AM8" i="49"/>
  <c r="AN8" i="49" s="1"/>
  <c r="AO9" i="49"/>
  <c r="AM8" i="52"/>
  <c r="AN8" i="52" s="1"/>
  <c r="AO9" i="52"/>
  <c r="AO9" i="51"/>
  <c r="AM8" i="51"/>
  <c r="AN8" i="51" s="1"/>
  <c r="AO9" i="47"/>
  <c r="AM8" i="47"/>
  <c r="AN8" i="47" s="1"/>
  <c r="AM8" i="48"/>
  <c r="AN8" i="48" s="1"/>
  <c r="AO9" i="48"/>
  <c r="AM8" i="46"/>
  <c r="AN8" i="46" s="1"/>
  <c r="AO9" i="46"/>
  <c r="AQ12" i="1"/>
  <c r="AR12" i="1" s="1"/>
  <c r="AG7" i="1"/>
  <c r="AG8" i="1" s="1"/>
  <c r="AG9" i="1" s="1"/>
  <c r="AG10" i="1" s="1"/>
  <c r="AG11" i="1" s="1"/>
  <c r="AG12" i="1" s="1"/>
  <c r="AG13" i="1" s="1"/>
  <c r="AG14" i="1" s="1"/>
  <c r="AG15" i="1" s="1"/>
  <c r="AC6" i="1" s="1"/>
  <c r="AO10" i="61" l="1"/>
  <c r="AM9" i="61"/>
  <c r="AN9" i="61" s="1"/>
  <c r="AO10" i="63"/>
  <c r="AM9" i="63"/>
  <c r="AN9" i="63" s="1"/>
  <c r="AM9" i="65"/>
  <c r="AN9" i="65" s="1"/>
  <c r="AO10" i="65"/>
  <c r="AO10" i="64"/>
  <c r="AM9" i="64"/>
  <c r="AN9" i="64" s="1"/>
  <c r="AO10" i="62"/>
  <c r="AM9" i="62"/>
  <c r="AN9" i="62" s="1"/>
  <c r="AO10" i="55"/>
  <c r="AM9" i="55"/>
  <c r="AN9" i="55" s="1"/>
  <c r="AO10" i="58"/>
  <c r="AM9" i="58"/>
  <c r="AN9" i="58" s="1"/>
  <c r="AM9" i="60"/>
  <c r="AN9" i="60" s="1"/>
  <c r="AO10" i="60"/>
  <c r="AM9" i="53"/>
  <c r="AN9" i="53" s="1"/>
  <c r="AO10" i="53"/>
  <c r="AM9" i="59"/>
  <c r="AN9" i="59" s="1"/>
  <c r="AO10" i="59"/>
  <c r="AO10" i="57"/>
  <c r="AM9" i="57"/>
  <c r="AN9" i="57" s="1"/>
  <c r="AM9" i="54"/>
  <c r="AN9" i="54" s="1"/>
  <c r="AO10" i="54"/>
  <c r="AO10" i="56"/>
  <c r="AM9" i="56"/>
  <c r="AN9" i="56" s="1"/>
  <c r="AM9" i="49"/>
  <c r="AN9" i="49" s="1"/>
  <c r="AO10" i="49"/>
  <c r="AO10" i="51"/>
  <c r="AM9" i="51"/>
  <c r="AN9" i="51" s="1"/>
  <c r="AM9" i="52"/>
  <c r="AN9" i="52" s="1"/>
  <c r="AO10" i="52"/>
  <c r="AM9" i="50"/>
  <c r="AN9" i="50" s="1"/>
  <c r="AO10" i="50"/>
  <c r="AM9" i="48"/>
  <c r="AN9" i="48" s="1"/>
  <c r="AO10" i="48"/>
  <c r="AO10" i="47"/>
  <c r="AM9" i="47"/>
  <c r="AN9" i="47" s="1"/>
  <c r="AM9" i="46"/>
  <c r="AN9" i="46" s="1"/>
  <c r="AO10" i="46"/>
  <c r="AC7" i="1"/>
  <c r="AC8" i="1" s="1"/>
  <c r="AC9" i="1" s="1"/>
  <c r="AC10" i="1" s="1"/>
  <c r="AC11" i="1" s="1"/>
  <c r="AC12" i="1" s="1"/>
  <c r="AC13" i="1" s="1"/>
  <c r="AC14" i="1" s="1"/>
  <c r="AC15" i="1" s="1"/>
  <c r="Y6" i="1" s="1"/>
  <c r="AQ13" i="1"/>
  <c r="AR13" i="1" s="1"/>
  <c r="AO11" i="64" l="1"/>
  <c r="AM10" i="64"/>
  <c r="AN10" i="64" s="1"/>
  <c r="AM10" i="63"/>
  <c r="AN10" i="63" s="1"/>
  <c r="AO11" i="63"/>
  <c r="AM10" i="65"/>
  <c r="AN10" i="65" s="1"/>
  <c r="AO11" i="65"/>
  <c r="AM10" i="62"/>
  <c r="AN10" i="62" s="1"/>
  <c r="AO11" i="62"/>
  <c r="AO11" i="61"/>
  <c r="AM10" i="61"/>
  <c r="AN10" i="61" s="1"/>
  <c r="AO11" i="56"/>
  <c r="AM10" i="56"/>
  <c r="AN10" i="56" s="1"/>
  <c r="AO11" i="57"/>
  <c r="AM10" i="57"/>
  <c r="AN10" i="57" s="1"/>
  <c r="AO11" i="58"/>
  <c r="AM10" i="58"/>
  <c r="AN10" i="58" s="1"/>
  <c r="AO11" i="53"/>
  <c r="AM10" i="53"/>
  <c r="AN10" i="53" s="1"/>
  <c r="AM10" i="54"/>
  <c r="AN10" i="54" s="1"/>
  <c r="AO11" i="54"/>
  <c r="AM10" i="59"/>
  <c r="AN10" i="59" s="1"/>
  <c r="AO11" i="59"/>
  <c r="AM10" i="60"/>
  <c r="AN10" i="60" s="1"/>
  <c r="AO11" i="60"/>
  <c r="AO11" i="55"/>
  <c r="AM10" i="55"/>
  <c r="AN10" i="55" s="1"/>
  <c r="AM10" i="49"/>
  <c r="AN10" i="49" s="1"/>
  <c r="AO11" i="49"/>
  <c r="AM10" i="50"/>
  <c r="AN10" i="50" s="1"/>
  <c r="AO11" i="50"/>
  <c r="AM10" i="51"/>
  <c r="AN10" i="51" s="1"/>
  <c r="AO11" i="51"/>
  <c r="AM10" i="52"/>
  <c r="AN10" i="52" s="1"/>
  <c r="AO11" i="52"/>
  <c r="AO11" i="47"/>
  <c r="AM10" i="47"/>
  <c r="AN10" i="47" s="1"/>
  <c r="AM10" i="48"/>
  <c r="AN10" i="48" s="1"/>
  <c r="AO11" i="48"/>
  <c r="AM10" i="46"/>
  <c r="AN10" i="46" s="1"/>
  <c r="AO11" i="46"/>
  <c r="AQ14" i="1"/>
  <c r="AR14" i="1" s="1"/>
  <c r="Y7" i="1"/>
  <c r="AM11" i="62" l="1"/>
  <c r="AN11" i="62" s="1"/>
  <c r="AO12" i="62"/>
  <c r="AM11" i="63"/>
  <c r="AN11" i="63" s="1"/>
  <c r="AO12" i="63"/>
  <c r="AM11" i="65"/>
  <c r="AN11" i="65" s="1"/>
  <c r="AO12" i="65"/>
  <c r="AO12" i="61"/>
  <c r="AM11" i="61"/>
  <c r="AN11" i="61" s="1"/>
  <c r="AM11" i="64"/>
  <c r="AN11" i="64" s="1"/>
  <c r="AO12" i="64"/>
  <c r="AO12" i="59"/>
  <c r="AM11" i="59"/>
  <c r="AN11" i="59" s="1"/>
  <c r="AO12" i="55"/>
  <c r="AM11" i="55"/>
  <c r="AN11" i="55" s="1"/>
  <c r="AM11" i="53"/>
  <c r="AN11" i="53" s="1"/>
  <c r="AO12" i="53"/>
  <c r="AO12" i="57"/>
  <c r="AM11" i="57"/>
  <c r="AN11" i="57" s="1"/>
  <c r="AM11" i="60"/>
  <c r="AN11" i="60" s="1"/>
  <c r="AO12" i="60"/>
  <c r="AO12" i="54"/>
  <c r="AM11" i="54"/>
  <c r="AN11" i="54" s="1"/>
  <c r="AO12" i="58"/>
  <c r="AM11" i="58"/>
  <c r="AN11" i="58" s="1"/>
  <c r="AM11" i="56"/>
  <c r="AN11" i="56" s="1"/>
  <c r="AO12" i="56"/>
  <c r="AM11" i="51"/>
  <c r="AN11" i="51" s="1"/>
  <c r="AO12" i="51"/>
  <c r="AM11" i="49"/>
  <c r="AN11" i="49" s="1"/>
  <c r="AO12" i="49"/>
  <c r="AM11" i="52"/>
  <c r="AN11" i="52" s="1"/>
  <c r="AO12" i="52"/>
  <c r="AO12" i="50"/>
  <c r="AM11" i="50"/>
  <c r="AN11" i="50" s="1"/>
  <c r="AM11" i="48"/>
  <c r="AN11" i="48" s="1"/>
  <c r="AO12" i="48"/>
  <c r="AO12" i="47"/>
  <c r="AM11" i="47"/>
  <c r="AN11" i="47" s="1"/>
  <c r="AM11" i="46"/>
  <c r="AN11" i="46" s="1"/>
  <c r="AO12" i="46"/>
  <c r="Y8" i="1"/>
  <c r="AQ15" i="1"/>
  <c r="AR15" i="1" s="1"/>
  <c r="AO13" i="61" l="1"/>
  <c r="AM12" i="61"/>
  <c r="AN12" i="61" s="1"/>
  <c r="AO13" i="63"/>
  <c r="AM12" i="63"/>
  <c r="AN12" i="63" s="1"/>
  <c r="AM12" i="64"/>
  <c r="AN12" i="64" s="1"/>
  <c r="AO13" i="64"/>
  <c r="AO13" i="65"/>
  <c r="AM12" i="65"/>
  <c r="AN12" i="65" s="1"/>
  <c r="AO13" i="62"/>
  <c r="AM12" i="62"/>
  <c r="AN12" i="62" s="1"/>
  <c r="AM12" i="54"/>
  <c r="AN12" i="54" s="1"/>
  <c r="AO13" i="54"/>
  <c r="AO13" i="57"/>
  <c r="AM12" i="57"/>
  <c r="AN12" i="57" s="1"/>
  <c r="AO13" i="55"/>
  <c r="AM12" i="55"/>
  <c r="AN12" i="55" s="1"/>
  <c r="AO13" i="56"/>
  <c r="AM12" i="56"/>
  <c r="AN12" i="56" s="1"/>
  <c r="AO13" i="60"/>
  <c r="AM12" i="60"/>
  <c r="AN12" i="60" s="1"/>
  <c r="AO13" i="53"/>
  <c r="AM12" i="53"/>
  <c r="AN12" i="53" s="1"/>
  <c r="AO13" i="58"/>
  <c r="AM12" i="58"/>
  <c r="AN12" i="58" s="1"/>
  <c r="AO13" i="59"/>
  <c r="AM12" i="59"/>
  <c r="AN12" i="59" s="1"/>
  <c r="AM12" i="49"/>
  <c r="AN12" i="49" s="1"/>
  <c r="AO13" i="49"/>
  <c r="AO13" i="52"/>
  <c r="AM12" i="52"/>
  <c r="AN12" i="52" s="1"/>
  <c r="AO13" i="51"/>
  <c r="AM12" i="51"/>
  <c r="AN12" i="51" s="1"/>
  <c r="AO13" i="50"/>
  <c r="AM12" i="50"/>
  <c r="AN12" i="50" s="1"/>
  <c r="AO13" i="47"/>
  <c r="AM12" i="47"/>
  <c r="AN12" i="47" s="1"/>
  <c r="AO13" i="48"/>
  <c r="AM12" i="48"/>
  <c r="AN12" i="48" s="1"/>
  <c r="AO13" i="46"/>
  <c r="AM12" i="46"/>
  <c r="AN12" i="46" s="1"/>
  <c r="AM6" i="1"/>
  <c r="Y9" i="1"/>
  <c r="AO14" i="65" l="1"/>
  <c r="AM13" i="65"/>
  <c r="AN13" i="65" s="1"/>
  <c r="AO14" i="63"/>
  <c r="AM13" i="63"/>
  <c r="AN13" i="63" s="1"/>
  <c r="AM13" i="64"/>
  <c r="AN13" i="64" s="1"/>
  <c r="AO14" i="64"/>
  <c r="AO14" i="62"/>
  <c r="AM13" i="62"/>
  <c r="AN13" i="62" s="1"/>
  <c r="AM13" i="61"/>
  <c r="AN13" i="61" s="1"/>
  <c r="AO14" i="61"/>
  <c r="AO14" i="59"/>
  <c r="AM13" i="59"/>
  <c r="AN13" i="59" s="1"/>
  <c r="AO14" i="53"/>
  <c r="AM13" i="53"/>
  <c r="AN13" i="53" s="1"/>
  <c r="AO14" i="56"/>
  <c r="AM13" i="56"/>
  <c r="AN13" i="56" s="1"/>
  <c r="AO14" i="57"/>
  <c r="AM13" i="57"/>
  <c r="AN13" i="57" s="1"/>
  <c r="AM13" i="54"/>
  <c r="AN13" i="54" s="1"/>
  <c r="AO14" i="54"/>
  <c r="AM13" i="58"/>
  <c r="AN13" i="58" s="1"/>
  <c r="AO14" i="58"/>
  <c r="AO14" i="60"/>
  <c r="AM13" i="60"/>
  <c r="AN13" i="60" s="1"/>
  <c r="AM13" i="55"/>
  <c r="AN13" i="55" s="1"/>
  <c r="AO14" i="55"/>
  <c r="AM13" i="50"/>
  <c r="AN13" i="50" s="1"/>
  <c r="AO14" i="50"/>
  <c r="AO14" i="52"/>
  <c r="AM13" i="52"/>
  <c r="AN13" i="52" s="1"/>
  <c r="AO14" i="49"/>
  <c r="AM13" i="49"/>
  <c r="AN13" i="49" s="1"/>
  <c r="AM13" i="51"/>
  <c r="AN13" i="51" s="1"/>
  <c r="AO14" i="51"/>
  <c r="AO14" i="48"/>
  <c r="AM13" i="48"/>
  <c r="AN13" i="48" s="1"/>
  <c r="AM13" i="47"/>
  <c r="AN13" i="47" s="1"/>
  <c r="AO14" i="47"/>
  <c r="AO14" i="46"/>
  <c r="AM13" i="46"/>
  <c r="AN13" i="46" s="1"/>
  <c r="Y10" i="1"/>
  <c r="AN6" i="1"/>
  <c r="AM7" i="1"/>
  <c r="AO15" i="62" l="1"/>
  <c r="AM14" i="62"/>
  <c r="AN14" i="62" s="1"/>
  <c r="AO15" i="63"/>
  <c r="AM14" i="63"/>
  <c r="AN14" i="63" s="1"/>
  <c r="AM14" i="61"/>
  <c r="AN14" i="61" s="1"/>
  <c r="AO15" i="61"/>
  <c r="AO15" i="64"/>
  <c r="AM14" i="64"/>
  <c r="AN14" i="64" s="1"/>
  <c r="AO15" i="65"/>
  <c r="AM14" i="65"/>
  <c r="AN14" i="65" s="1"/>
  <c r="AM14" i="57"/>
  <c r="AN14" i="57" s="1"/>
  <c r="AO15" i="57"/>
  <c r="AO15" i="53"/>
  <c r="AM14" i="53"/>
  <c r="AN14" i="53" s="1"/>
  <c r="AM14" i="54"/>
  <c r="AN14" i="54" s="1"/>
  <c r="AO15" i="54"/>
  <c r="AM14" i="55"/>
  <c r="AN14" i="55" s="1"/>
  <c r="AO15" i="55"/>
  <c r="AM14" i="58"/>
  <c r="AN14" i="58" s="1"/>
  <c r="AO15" i="58"/>
  <c r="AO15" i="60"/>
  <c r="AM14" i="60"/>
  <c r="AN14" i="60" s="1"/>
  <c r="AO15" i="56"/>
  <c r="AM14" i="56"/>
  <c r="AN14" i="56" s="1"/>
  <c r="AO15" i="59"/>
  <c r="AM14" i="59"/>
  <c r="AN14" i="59" s="1"/>
  <c r="AM14" i="51"/>
  <c r="AN14" i="51" s="1"/>
  <c r="AO15" i="51"/>
  <c r="AO15" i="52"/>
  <c r="AM14" i="52"/>
  <c r="AN14" i="52" s="1"/>
  <c r="AM14" i="50"/>
  <c r="AN14" i="50" s="1"/>
  <c r="AO15" i="50"/>
  <c r="AO15" i="49"/>
  <c r="AM14" i="49"/>
  <c r="AN14" i="49" s="1"/>
  <c r="AM14" i="47"/>
  <c r="AN14" i="47" s="1"/>
  <c r="AO15" i="47"/>
  <c r="AO15" i="48"/>
  <c r="AM14" i="48"/>
  <c r="AN14" i="48" s="1"/>
  <c r="AO15" i="46"/>
  <c r="AM14" i="46"/>
  <c r="AN14" i="46" s="1"/>
  <c r="AN7" i="1"/>
  <c r="AM8" i="1"/>
  <c r="Y11" i="1"/>
  <c r="AM15" i="64" l="1"/>
  <c r="AN15" i="64" s="1"/>
  <c r="AK6" i="64"/>
  <c r="AK6" i="63"/>
  <c r="AM15" i="63"/>
  <c r="AN15" i="63" s="1"/>
  <c r="AM15" i="61"/>
  <c r="AN15" i="61" s="1"/>
  <c r="AK6" i="61"/>
  <c r="AK6" i="65"/>
  <c r="AM15" i="65"/>
  <c r="AN15" i="65" s="1"/>
  <c r="AM15" i="62"/>
  <c r="AN15" i="62" s="1"/>
  <c r="AK6" i="62"/>
  <c r="AM15" i="59"/>
  <c r="AN15" i="59" s="1"/>
  <c r="AK6" i="59"/>
  <c r="AM15" i="60"/>
  <c r="AN15" i="60" s="1"/>
  <c r="AK6" i="60"/>
  <c r="AK6" i="53"/>
  <c r="AM15" i="53"/>
  <c r="AN15" i="53" s="1"/>
  <c r="AM15" i="55"/>
  <c r="AN15" i="55" s="1"/>
  <c r="AK6" i="55"/>
  <c r="AM15" i="58"/>
  <c r="AN15" i="58" s="1"/>
  <c r="AK6" i="58"/>
  <c r="AK6" i="54"/>
  <c r="AM15" i="54"/>
  <c r="AN15" i="54" s="1"/>
  <c r="AM15" i="57"/>
  <c r="AN15" i="57" s="1"/>
  <c r="AK6" i="57"/>
  <c r="AM15" i="56"/>
  <c r="AN15" i="56" s="1"/>
  <c r="AK6" i="56"/>
  <c r="AK6" i="49"/>
  <c r="AM15" i="49"/>
  <c r="AN15" i="49" s="1"/>
  <c r="AM15" i="52"/>
  <c r="AN15" i="52" s="1"/>
  <c r="AK6" i="52"/>
  <c r="AK6" i="50"/>
  <c r="AM15" i="50"/>
  <c r="AN15" i="50" s="1"/>
  <c r="AM15" i="51"/>
  <c r="AN15" i="51" s="1"/>
  <c r="AK6" i="51"/>
  <c r="AM15" i="48"/>
  <c r="AN15" i="48" s="1"/>
  <c r="AK6" i="48"/>
  <c r="AM15" i="47"/>
  <c r="AN15" i="47" s="1"/>
  <c r="AK6" i="47"/>
  <c r="AM15" i="46"/>
  <c r="AN15" i="46" s="1"/>
  <c r="AK6" i="46"/>
  <c r="Y12" i="1"/>
  <c r="AM9" i="1"/>
  <c r="AN8" i="1"/>
  <c r="AK7" i="65" l="1"/>
  <c r="AI6" i="65"/>
  <c r="AJ6" i="65" s="1"/>
  <c r="AK7" i="63"/>
  <c r="AI6" i="63"/>
  <c r="AJ6" i="63" s="1"/>
  <c r="AK7" i="62"/>
  <c r="AI6" i="62"/>
  <c r="AJ6" i="62" s="1"/>
  <c r="AK7" i="61"/>
  <c r="AI6" i="61"/>
  <c r="AJ6" i="61" s="1"/>
  <c r="AK7" i="64"/>
  <c r="AI6" i="64"/>
  <c r="AJ6" i="64" s="1"/>
  <c r="AK7" i="54"/>
  <c r="AI6" i="54"/>
  <c r="AJ6" i="54" s="1"/>
  <c r="AK7" i="56"/>
  <c r="AI6" i="56"/>
  <c r="AJ6" i="56" s="1"/>
  <c r="AK7" i="55"/>
  <c r="AI6" i="55"/>
  <c r="AJ6" i="55" s="1"/>
  <c r="AI6" i="60"/>
  <c r="AJ6" i="60" s="1"/>
  <c r="AK7" i="60"/>
  <c r="AK7" i="57"/>
  <c r="AI6" i="57"/>
  <c r="AJ6" i="57" s="1"/>
  <c r="AK7" i="58"/>
  <c r="AI6" i="58"/>
  <c r="AJ6" i="58" s="1"/>
  <c r="AK7" i="59"/>
  <c r="AI6" i="59"/>
  <c r="AJ6" i="59" s="1"/>
  <c r="AK7" i="53"/>
  <c r="AI6" i="53"/>
  <c r="AJ6" i="53" s="1"/>
  <c r="AK7" i="51"/>
  <c r="AI6" i="51"/>
  <c r="AJ6" i="51" s="1"/>
  <c r="AK7" i="52"/>
  <c r="AI6" i="52"/>
  <c r="AJ6" i="52" s="1"/>
  <c r="AK7" i="50"/>
  <c r="AI6" i="50"/>
  <c r="AJ6" i="50" s="1"/>
  <c r="AI6" i="49"/>
  <c r="AJ6" i="49" s="1"/>
  <c r="AK7" i="49"/>
  <c r="AK7" i="47"/>
  <c r="AI6" i="47"/>
  <c r="AJ6" i="47" s="1"/>
  <c r="AK7" i="48"/>
  <c r="AI6" i="48"/>
  <c r="AJ6" i="48" s="1"/>
  <c r="AI6" i="46"/>
  <c r="AJ6" i="46" s="1"/>
  <c r="AK7" i="46"/>
  <c r="AM10" i="1"/>
  <c r="AN9" i="1"/>
  <c r="Y13" i="1"/>
  <c r="AK8" i="61" l="1"/>
  <c r="AI7" i="61"/>
  <c r="AJ7" i="61" s="1"/>
  <c r="AI7" i="63"/>
  <c r="AJ7" i="63" s="1"/>
  <c r="AK8" i="63"/>
  <c r="AK8" i="64"/>
  <c r="AI7" i="64"/>
  <c r="AJ7" i="64" s="1"/>
  <c r="AK8" i="62"/>
  <c r="AI7" i="62"/>
  <c r="AJ7" i="62" s="1"/>
  <c r="AI7" i="65"/>
  <c r="AJ7" i="65" s="1"/>
  <c r="AK8" i="65"/>
  <c r="AK8" i="60"/>
  <c r="AI7" i="60"/>
  <c r="AJ7" i="60" s="1"/>
  <c r="AI7" i="53"/>
  <c r="AJ7" i="53" s="1"/>
  <c r="AK8" i="53"/>
  <c r="AK8" i="58"/>
  <c r="AI7" i="58"/>
  <c r="AJ7" i="58" s="1"/>
  <c r="AK8" i="56"/>
  <c r="AI7" i="56"/>
  <c r="AJ7" i="56" s="1"/>
  <c r="AK8" i="59"/>
  <c r="AI7" i="59"/>
  <c r="AJ7" i="59" s="1"/>
  <c r="AI7" i="57"/>
  <c r="AJ7" i="57" s="1"/>
  <c r="AK8" i="57"/>
  <c r="AK8" i="55"/>
  <c r="AI7" i="55"/>
  <c r="AJ7" i="55" s="1"/>
  <c r="AI7" i="54"/>
  <c r="AJ7" i="54" s="1"/>
  <c r="AK8" i="54"/>
  <c r="AI7" i="49"/>
  <c r="AJ7" i="49" s="1"/>
  <c r="AK8" i="49"/>
  <c r="AK8" i="52"/>
  <c r="AI7" i="52"/>
  <c r="AJ7" i="52" s="1"/>
  <c r="AI7" i="50"/>
  <c r="AJ7" i="50" s="1"/>
  <c r="AK8" i="50"/>
  <c r="AK8" i="51"/>
  <c r="AI7" i="51"/>
  <c r="AJ7" i="51" s="1"/>
  <c r="AK8" i="48"/>
  <c r="AI7" i="48"/>
  <c r="AJ7" i="48" s="1"/>
  <c r="AK8" i="47"/>
  <c r="AI7" i="47"/>
  <c r="AJ7" i="47" s="1"/>
  <c r="AI7" i="46"/>
  <c r="AJ7" i="46" s="1"/>
  <c r="AK8" i="46"/>
  <c r="Y14" i="1"/>
  <c r="AM11" i="1"/>
  <c r="AN10" i="1"/>
  <c r="AI8" i="63" l="1"/>
  <c r="AJ8" i="63" s="1"/>
  <c r="AK9" i="63"/>
  <c r="AK9" i="62"/>
  <c r="AI8" i="62"/>
  <c r="AJ8" i="62" s="1"/>
  <c r="AI8" i="65"/>
  <c r="AJ8" i="65" s="1"/>
  <c r="AK9" i="65"/>
  <c r="AK9" i="64"/>
  <c r="AI8" i="64"/>
  <c r="AJ8" i="64" s="1"/>
  <c r="AK9" i="61"/>
  <c r="AI8" i="61"/>
  <c r="AJ8" i="61" s="1"/>
  <c r="AI8" i="53"/>
  <c r="AJ8" i="53" s="1"/>
  <c r="AK9" i="53"/>
  <c r="AK9" i="56"/>
  <c r="AI8" i="56"/>
  <c r="AJ8" i="56" s="1"/>
  <c r="AI8" i="54"/>
  <c r="AJ8" i="54" s="1"/>
  <c r="AK9" i="54"/>
  <c r="AI8" i="57"/>
  <c r="AJ8" i="57" s="1"/>
  <c r="AK9" i="57"/>
  <c r="AK9" i="55"/>
  <c r="AI8" i="55"/>
  <c r="AJ8" i="55" s="1"/>
  <c r="AI8" i="59"/>
  <c r="AJ8" i="59" s="1"/>
  <c r="AK9" i="59"/>
  <c r="AK9" i="58"/>
  <c r="AI8" i="58"/>
  <c r="AJ8" i="58" s="1"/>
  <c r="AI8" i="60"/>
  <c r="AJ8" i="60" s="1"/>
  <c r="AK9" i="60"/>
  <c r="AK9" i="51"/>
  <c r="AI8" i="51"/>
  <c r="AJ8" i="51" s="1"/>
  <c r="AI8" i="52"/>
  <c r="AJ8" i="52" s="1"/>
  <c r="AK9" i="52"/>
  <c r="AI8" i="50"/>
  <c r="AJ8" i="50" s="1"/>
  <c r="AK9" i="50"/>
  <c r="AI8" i="49"/>
  <c r="AJ8" i="49" s="1"/>
  <c r="AK9" i="49"/>
  <c r="AK9" i="47"/>
  <c r="AI8" i="47"/>
  <c r="AJ8" i="47" s="1"/>
  <c r="AI8" i="48"/>
  <c r="AJ8" i="48" s="1"/>
  <c r="AK9" i="48"/>
  <c r="AI8" i="46"/>
  <c r="AJ8" i="46" s="1"/>
  <c r="AK9" i="46"/>
  <c r="AM12" i="1"/>
  <c r="AN11" i="1"/>
  <c r="Y15" i="1"/>
  <c r="AK10" i="64" l="1"/>
  <c r="AI9" i="64"/>
  <c r="AJ9" i="64" s="1"/>
  <c r="AK10" i="62"/>
  <c r="AI9" i="62"/>
  <c r="AJ9" i="62" s="1"/>
  <c r="AI9" i="65"/>
  <c r="AJ9" i="65" s="1"/>
  <c r="AK10" i="65"/>
  <c r="AK10" i="63"/>
  <c r="AI9" i="63"/>
  <c r="AJ9" i="63" s="1"/>
  <c r="AI9" i="61"/>
  <c r="AJ9" i="61" s="1"/>
  <c r="AK10" i="61"/>
  <c r="AI9" i="59"/>
  <c r="AJ9" i="59" s="1"/>
  <c r="AK10" i="59"/>
  <c r="AK10" i="56"/>
  <c r="AI9" i="56"/>
  <c r="AJ9" i="56" s="1"/>
  <c r="AI9" i="60"/>
  <c r="AJ9" i="60" s="1"/>
  <c r="AK10" i="60"/>
  <c r="AK10" i="57"/>
  <c r="AI9" i="57"/>
  <c r="AJ9" i="57" s="1"/>
  <c r="AI9" i="54"/>
  <c r="AJ9" i="54" s="1"/>
  <c r="AK10" i="54"/>
  <c r="AI9" i="53"/>
  <c r="AJ9" i="53" s="1"/>
  <c r="AK10" i="53"/>
  <c r="AK10" i="58"/>
  <c r="AI9" i="58"/>
  <c r="AJ9" i="58" s="1"/>
  <c r="AK10" i="55"/>
  <c r="AI9" i="55"/>
  <c r="AJ9" i="55" s="1"/>
  <c r="AI9" i="49"/>
  <c r="AJ9" i="49" s="1"/>
  <c r="AK10" i="49"/>
  <c r="AI9" i="52"/>
  <c r="AJ9" i="52" s="1"/>
  <c r="AK10" i="52"/>
  <c r="AI9" i="50"/>
  <c r="AJ9" i="50" s="1"/>
  <c r="AK10" i="50"/>
  <c r="AK10" i="51"/>
  <c r="AI9" i="51"/>
  <c r="AJ9" i="51" s="1"/>
  <c r="AI9" i="48"/>
  <c r="AJ9" i="48" s="1"/>
  <c r="AK10" i="48"/>
  <c r="AK10" i="47"/>
  <c r="AI9" i="47"/>
  <c r="AJ9" i="47" s="1"/>
  <c r="AI9" i="46"/>
  <c r="AJ9" i="46" s="1"/>
  <c r="AK10" i="46"/>
  <c r="U6" i="1"/>
  <c r="AM13" i="1"/>
  <c r="AN12" i="1"/>
  <c r="AI10" i="63" l="1"/>
  <c r="AJ10" i="63" s="1"/>
  <c r="AK11" i="63"/>
  <c r="AI10" i="62"/>
  <c r="AJ10" i="62" s="1"/>
  <c r="AK11" i="62"/>
  <c r="AK11" i="61"/>
  <c r="AI10" i="61"/>
  <c r="AJ10" i="61" s="1"/>
  <c r="AI10" i="65"/>
  <c r="AJ10" i="65" s="1"/>
  <c r="AK11" i="65"/>
  <c r="AK11" i="64"/>
  <c r="AI10" i="64"/>
  <c r="AJ10" i="64" s="1"/>
  <c r="AI10" i="53"/>
  <c r="AJ10" i="53" s="1"/>
  <c r="AK11" i="53"/>
  <c r="AK11" i="55"/>
  <c r="AI10" i="55"/>
  <c r="AJ10" i="55" s="1"/>
  <c r="AI10" i="57"/>
  <c r="AJ10" i="57" s="1"/>
  <c r="AK11" i="57"/>
  <c r="AK11" i="56"/>
  <c r="AI10" i="56"/>
  <c r="AJ10" i="56" s="1"/>
  <c r="AI10" i="54"/>
  <c r="AJ10" i="54" s="1"/>
  <c r="AK11" i="54"/>
  <c r="AI10" i="60"/>
  <c r="AJ10" i="60" s="1"/>
  <c r="AK11" i="60"/>
  <c r="AI10" i="59"/>
  <c r="AJ10" i="59" s="1"/>
  <c r="AK11" i="59"/>
  <c r="AK11" i="58"/>
  <c r="AI10" i="58"/>
  <c r="AJ10" i="58" s="1"/>
  <c r="AI10" i="52"/>
  <c r="AJ10" i="52" s="1"/>
  <c r="AK11" i="52"/>
  <c r="AI10" i="51"/>
  <c r="AJ10" i="51" s="1"/>
  <c r="AK11" i="51"/>
  <c r="AI10" i="50"/>
  <c r="AJ10" i="50" s="1"/>
  <c r="AK11" i="50"/>
  <c r="AI10" i="49"/>
  <c r="AJ10" i="49" s="1"/>
  <c r="AK11" i="49"/>
  <c r="AK11" i="47"/>
  <c r="AI10" i="47"/>
  <c r="AJ10" i="47" s="1"/>
  <c r="AI10" i="48"/>
  <c r="AJ10" i="48" s="1"/>
  <c r="AK11" i="48"/>
  <c r="AI10" i="46"/>
  <c r="AJ10" i="46" s="1"/>
  <c r="AK11" i="46"/>
  <c r="AM14" i="1"/>
  <c r="AN13" i="1"/>
  <c r="U7" i="1"/>
  <c r="AI11" i="65" l="1"/>
  <c r="AJ11" i="65" s="1"/>
  <c r="AK12" i="65"/>
  <c r="AI11" i="62"/>
  <c r="AJ11" i="62" s="1"/>
  <c r="AK12" i="62"/>
  <c r="AI11" i="63"/>
  <c r="AJ11" i="63" s="1"/>
  <c r="AK12" i="63"/>
  <c r="AI11" i="64"/>
  <c r="AJ11" i="64" s="1"/>
  <c r="AK12" i="64"/>
  <c r="AK12" i="61"/>
  <c r="AI11" i="61"/>
  <c r="AJ11" i="61" s="1"/>
  <c r="AI11" i="60"/>
  <c r="AJ11" i="60" s="1"/>
  <c r="AK12" i="60"/>
  <c r="AK12" i="58"/>
  <c r="AI11" i="58"/>
  <c r="AJ11" i="58" s="1"/>
  <c r="AI11" i="56"/>
  <c r="AJ11" i="56" s="1"/>
  <c r="AK12" i="56"/>
  <c r="AK12" i="55"/>
  <c r="AI11" i="55"/>
  <c r="AJ11" i="55" s="1"/>
  <c r="AK12" i="59"/>
  <c r="AI11" i="59"/>
  <c r="AJ11" i="59" s="1"/>
  <c r="AK12" i="54"/>
  <c r="AI11" i="54"/>
  <c r="AJ11" i="54" s="1"/>
  <c r="AI11" i="57"/>
  <c r="AJ11" i="57" s="1"/>
  <c r="AK12" i="57"/>
  <c r="AI11" i="53"/>
  <c r="AJ11" i="53" s="1"/>
  <c r="AK12" i="53"/>
  <c r="AI11" i="49"/>
  <c r="AJ11" i="49" s="1"/>
  <c r="AK12" i="49"/>
  <c r="AI11" i="51"/>
  <c r="AJ11" i="51" s="1"/>
  <c r="AK12" i="51"/>
  <c r="AK12" i="50"/>
  <c r="AI11" i="50"/>
  <c r="AJ11" i="50" s="1"/>
  <c r="AI11" i="52"/>
  <c r="AJ11" i="52" s="1"/>
  <c r="AK12" i="52"/>
  <c r="AI11" i="48"/>
  <c r="AJ11" i="48" s="1"/>
  <c r="AK12" i="48"/>
  <c r="AK12" i="47"/>
  <c r="AI11" i="47"/>
  <c r="AJ11" i="47" s="1"/>
  <c r="AI11" i="46"/>
  <c r="AJ11" i="46" s="1"/>
  <c r="AK12" i="46"/>
  <c r="U8" i="1"/>
  <c r="AM15" i="1"/>
  <c r="AN14" i="1"/>
  <c r="AI12" i="64" l="1"/>
  <c r="AJ12" i="64" s="1"/>
  <c r="AK13" i="64"/>
  <c r="AK13" i="62"/>
  <c r="AI12" i="62"/>
  <c r="AJ12" i="62" s="1"/>
  <c r="AK13" i="63"/>
  <c r="AI12" i="63"/>
  <c r="AJ12" i="63" s="1"/>
  <c r="AK13" i="65"/>
  <c r="AI12" i="65"/>
  <c r="AJ12" i="65" s="1"/>
  <c r="AK13" i="61"/>
  <c r="AI12" i="61"/>
  <c r="AJ12" i="61" s="1"/>
  <c r="AI12" i="54"/>
  <c r="AJ12" i="54" s="1"/>
  <c r="AK13" i="54"/>
  <c r="AI12" i="55"/>
  <c r="AJ12" i="55" s="1"/>
  <c r="AK13" i="55"/>
  <c r="AK13" i="58"/>
  <c r="AI12" i="58"/>
  <c r="AJ12" i="58" s="1"/>
  <c r="AK13" i="53"/>
  <c r="AI12" i="53"/>
  <c r="AJ12" i="53" s="1"/>
  <c r="AI12" i="57"/>
  <c r="AJ12" i="57" s="1"/>
  <c r="AK13" i="57"/>
  <c r="AK13" i="56"/>
  <c r="AI12" i="56"/>
  <c r="AJ12" i="56" s="1"/>
  <c r="AK13" i="60"/>
  <c r="AI12" i="60"/>
  <c r="AJ12" i="60" s="1"/>
  <c r="AK13" i="59"/>
  <c r="AI12" i="59"/>
  <c r="AJ12" i="59" s="1"/>
  <c r="AK13" i="51"/>
  <c r="AI12" i="51"/>
  <c r="AJ12" i="51" s="1"/>
  <c r="AK13" i="49"/>
  <c r="AI12" i="49"/>
  <c r="AJ12" i="49" s="1"/>
  <c r="AK13" i="52"/>
  <c r="AI12" i="52"/>
  <c r="AJ12" i="52" s="1"/>
  <c r="AK13" i="50"/>
  <c r="AI12" i="50"/>
  <c r="AJ12" i="50" s="1"/>
  <c r="AK13" i="47"/>
  <c r="AI12" i="47"/>
  <c r="AJ12" i="47" s="1"/>
  <c r="AK13" i="48"/>
  <c r="AI12" i="48"/>
  <c r="AJ12" i="48" s="1"/>
  <c r="AK13" i="46"/>
  <c r="AI12" i="46"/>
  <c r="AJ12" i="46" s="1"/>
  <c r="AN15" i="1"/>
  <c r="AI6" i="1"/>
  <c r="U9" i="1"/>
  <c r="AK14" i="65" l="1"/>
  <c r="AI13" i="65"/>
  <c r="AJ13" i="65" s="1"/>
  <c r="AK14" i="62"/>
  <c r="AI13" i="62"/>
  <c r="AJ13" i="62" s="1"/>
  <c r="AK14" i="64"/>
  <c r="AI13" i="64"/>
  <c r="AJ13" i="64" s="1"/>
  <c r="AI13" i="61"/>
  <c r="AJ13" i="61" s="1"/>
  <c r="AK14" i="61"/>
  <c r="AK14" i="63"/>
  <c r="AI13" i="63"/>
  <c r="AJ13" i="63" s="1"/>
  <c r="AK14" i="55"/>
  <c r="AI13" i="55"/>
  <c r="AJ13" i="55" s="1"/>
  <c r="AK14" i="59"/>
  <c r="AI13" i="59"/>
  <c r="AJ13" i="59" s="1"/>
  <c r="AK14" i="56"/>
  <c r="AI13" i="56"/>
  <c r="AJ13" i="56" s="1"/>
  <c r="AK14" i="53"/>
  <c r="AI13" i="53"/>
  <c r="AJ13" i="53" s="1"/>
  <c r="AI13" i="57"/>
  <c r="AJ13" i="57" s="1"/>
  <c r="AK14" i="57"/>
  <c r="AI13" i="54"/>
  <c r="AJ13" i="54" s="1"/>
  <c r="AK14" i="54"/>
  <c r="AK14" i="60"/>
  <c r="AI13" i="60"/>
  <c r="AJ13" i="60" s="1"/>
  <c r="AI13" i="58"/>
  <c r="AJ13" i="58" s="1"/>
  <c r="AK14" i="58"/>
  <c r="AI13" i="50"/>
  <c r="AJ13" i="50" s="1"/>
  <c r="AK14" i="50"/>
  <c r="AK14" i="49"/>
  <c r="AI13" i="49"/>
  <c r="AJ13" i="49" s="1"/>
  <c r="AK14" i="52"/>
  <c r="AI13" i="52"/>
  <c r="AJ13" i="52" s="1"/>
  <c r="AK14" i="51"/>
  <c r="AI13" i="51"/>
  <c r="AJ13" i="51" s="1"/>
  <c r="AK14" i="48"/>
  <c r="AI13" i="48"/>
  <c r="AJ13" i="48" s="1"/>
  <c r="AI13" i="47"/>
  <c r="AJ13" i="47" s="1"/>
  <c r="AK14" i="47"/>
  <c r="AK14" i="46"/>
  <c r="AI13" i="46"/>
  <c r="AJ13" i="46" s="1"/>
  <c r="U10" i="1"/>
  <c r="AI7" i="1"/>
  <c r="AJ6" i="1"/>
  <c r="AI14" i="61" l="1"/>
  <c r="AJ14" i="61" s="1"/>
  <c r="AK15" i="61"/>
  <c r="AK15" i="62"/>
  <c r="AI14" i="62"/>
  <c r="AJ14" i="62" s="1"/>
  <c r="AK15" i="63"/>
  <c r="AI14" i="63"/>
  <c r="AJ14" i="63" s="1"/>
  <c r="AK15" i="64"/>
  <c r="AI14" i="64"/>
  <c r="AJ14" i="64" s="1"/>
  <c r="AK15" i="65"/>
  <c r="AI14" i="65"/>
  <c r="AJ14" i="65" s="1"/>
  <c r="AI14" i="58"/>
  <c r="AJ14" i="58" s="1"/>
  <c r="AK15" i="58"/>
  <c r="AI14" i="54"/>
  <c r="AJ14" i="54" s="1"/>
  <c r="AK15" i="54"/>
  <c r="AK15" i="53"/>
  <c r="AI14" i="53"/>
  <c r="AJ14" i="53" s="1"/>
  <c r="AK15" i="59"/>
  <c r="AI14" i="59"/>
  <c r="AJ14" i="59" s="1"/>
  <c r="AI14" i="57"/>
  <c r="AJ14" i="57" s="1"/>
  <c r="AK15" i="57"/>
  <c r="AK15" i="60"/>
  <c r="AI14" i="60"/>
  <c r="AJ14" i="60" s="1"/>
  <c r="AK15" i="56"/>
  <c r="AI14" i="56"/>
  <c r="AJ14" i="56" s="1"/>
  <c r="AI14" i="55"/>
  <c r="AJ14" i="55" s="1"/>
  <c r="AK15" i="55"/>
  <c r="AI14" i="50"/>
  <c r="AJ14" i="50" s="1"/>
  <c r="AK15" i="50"/>
  <c r="AK15" i="51"/>
  <c r="AI14" i="51"/>
  <c r="AJ14" i="51" s="1"/>
  <c r="AK15" i="49"/>
  <c r="AI14" i="49"/>
  <c r="AJ14" i="49" s="1"/>
  <c r="AK15" i="52"/>
  <c r="AI14" i="52"/>
  <c r="AJ14" i="52" s="1"/>
  <c r="AI14" i="47"/>
  <c r="AJ14" i="47" s="1"/>
  <c r="AK15" i="47"/>
  <c r="AK15" i="48"/>
  <c r="AI14" i="48"/>
  <c r="AJ14" i="48" s="1"/>
  <c r="AK15" i="46"/>
  <c r="AI14" i="46"/>
  <c r="AJ14" i="46" s="1"/>
  <c r="AI8" i="1"/>
  <c r="AJ7" i="1"/>
  <c r="U11" i="1"/>
  <c r="AI15" i="64" l="1"/>
  <c r="AJ15" i="64" s="1"/>
  <c r="AG6" i="64"/>
  <c r="AI15" i="62"/>
  <c r="AJ15" i="62" s="1"/>
  <c r="AG6" i="62"/>
  <c r="AI15" i="61"/>
  <c r="AJ15" i="61" s="1"/>
  <c r="AG6" i="61"/>
  <c r="AG6" i="65"/>
  <c r="AI15" i="65"/>
  <c r="AJ15" i="65" s="1"/>
  <c r="AG6" i="63"/>
  <c r="AI15" i="63"/>
  <c r="AJ15" i="63" s="1"/>
  <c r="AI15" i="55"/>
  <c r="AJ15" i="55" s="1"/>
  <c r="AG6" i="55"/>
  <c r="AG6" i="54"/>
  <c r="AI15" i="54"/>
  <c r="AJ15" i="54" s="1"/>
  <c r="AG6" i="60"/>
  <c r="AI15" i="60"/>
  <c r="AJ15" i="60" s="1"/>
  <c r="AI15" i="59"/>
  <c r="AJ15" i="59" s="1"/>
  <c r="AG6" i="59"/>
  <c r="AG6" i="57"/>
  <c r="AI15" i="57"/>
  <c r="AJ15" i="57" s="1"/>
  <c r="AI15" i="58"/>
  <c r="AJ15" i="58" s="1"/>
  <c r="AG6" i="58"/>
  <c r="AI15" i="56"/>
  <c r="AJ15" i="56" s="1"/>
  <c r="AG6" i="56"/>
  <c r="AI15" i="53"/>
  <c r="AJ15" i="53" s="1"/>
  <c r="AG6" i="53"/>
  <c r="AG6" i="52"/>
  <c r="AI15" i="52"/>
  <c r="AJ15" i="52" s="1"/>
  <c r="AI15" i="51"/>
  <c r="AJ15" i="51" s="1"/>
  <c r="AG6" i="51"/>
  <c r="AG6" i="50"/>
  <c r="AI15" i="50"/>
  <c r="AJ15" i="50" s="1"/>
  <c r="AI15" i="49"/>
  <c r="AJ15" i="49" s="1"/>
  <c r="AG6" i="49"/>
  <c r="AG6" i="48"/>
  <c r="AI15" i="48"/>
  <c r="AJ15" i="48" s="1"/>
  <c r="AI15" i="47"/>
  <c r="AJ15" i="47" s="1"/>
  <c r="AG6" i="47"/>
  <c r="AI15" i="46"/>
  <c r="AJ15" i="46" s="1"/>
  <c r="AG6" i="46"/>
  <c r="U12" i="1"/>
  <c r="AI9" i="1"/>
  <c r="AJ8" i="1"/>
  <c r="AG7" i="62" l="1"/>
  <c r="AE6" i="62"/>
  <c r="AF6" i="62" s="1"/>
  <c r="AG7" i="65"/>
  <c r="AE6" i="65"/>
  <c r="AF6" i="65" s="1"/>
  <c r="AG7" i="61"/>
  <c r="AE6" i="61"/>
  <c r="AF6" i="61" s="1"/>
  <c r="AG7" i="64"/>
  <c r="AE6" i="64"/>
  <c r="AF6" i="64" s="1"/>
  <c r="AG7" i="63"/>
  <c r="AE6" i="63"/>
  <c r="AF6" i="63" s="1"/>
  <c r="AG7" i="53"/>
  <c r="AE6" i="53"/>
  <c r="AF6" i="53" s="1"/>
  <c r="AG7" i="59"/>
  <c r="AE6" i="59"/>
  <c r="AF6" i="59" s="1"/>
  <c r="AE6" i="54"/>
  <c r="AF6" i="54" s="1"/>
  <c r="AG7" i="54"/>
  <c r="AE6" i="58"/>
  <c r="AF6" i="58" s="1"/>
  <c r="AG7" i="58"/>
  <c r="AG7" i="56"/>
  <c r="AE6" i="56"/>
  <c r="AF6" i="56" s="1"/>
  <c r="AG7" i="55"/>
  <c r="AE6" i="55"/>
  <c r="AF6" i="55" s="1"/>
  <c r="AE6" i="57"/>
  <c r="AF6" i="57" s="1"/>
  <c r="AG7" i="57"/>
  <c r="AG7" i="60"/>
  <c r="AE6" i="60"/>
  <c r="AF6" i="60" s="1"/>
  <c r="AG7" i="51"/>
  <c r="AE6" i="51"/>
  <c r="AF6" i="51" s="1"/>
  <c r="AE6" i="49"/>
  <c r="AF6" i="49" s="1"/>
  <c r="AG7" i="49"/>
  <c r="AE6" i="50"/>
  <c r="AF6" i="50" s="1"/>
  <c r="AG7" i="50"/>
  <c r="AG7" i="52"/>
  <c r="AE6" i="52"/>
  <c r="AF6" i="52" s="1"/>
  <c r="AG7" i="47"/>
  <c r="AE6" i="47"/>
  <c r="AF6" i="47" s="1"/>
  <c r="AG7" i="48"/>
  <c r="AE6" i="48"/>
  <c r="AF6" i="48" s="1"/>
  <c r="AE6" i="46"/>
  <c r="AF6" i="46" s="1"/>
  <c r="AG7" i="46"/>
  <c r="AI10" i="1"/>
  <c r="AJ9" i="1"/>
  <c r="U13" i="1"/>
  <c r="AG8" i="64" l="1"/>
  <c r="AE7" i="64"/>
  <c r="AF7" i="64" s="1"/>
  <c r="AE7" i="65"/>
  <c r="AF7" i="65" s="1"/>
  <c r="AG8" i="65"/>
  <c r="AE7" i="63"/>
  <c r="AF7" i="63" s="1"/>
  <c r="AG8" i="63"/>
  <c r="AG8" i="61"/>
  <c r="AE7" i="61"/>
  <c r="AF7" i="61" s="1"/>
  <c r="AG8" i="62"/>
  <c r="AE7" i="62"/>
  <c r="AF7" i="62" s="1"/>
  <c r="AG8" i="58"/>
  <c r="AE7" i="58"/>
  <c r="AF7" i="58" s="1"/>
  <c r="AE7" i="60"/>
  <c r="AF7" i="60" s="1"/>
  <c r="AG8" i="60"/>
  <c r="AG8" i="55"/>
  <c r="AE7" i="55"/>
  <c r="AF7" i="55" s="1"/>
  <c r="AG8" i="59"/>
  <c r="AE7" i="59"/>
  <c r="AF7" i="59" s="1"/>
  <c r="AE7" i="57"/>
  <c r="AF7" i="57" s="1"/>
  <c r="AG8" i="57"/>
  <c r="AE7" i="54"/>
  <c r="AF7" i="54" s="1"/>
  <c r="AG8" i="54"/>
  <c r="AG8" i="56"/>
  <c r="AE7" i="56"/>
  <c r="AF7" i="56" s="1"/>
  <c r="AE7" i="53"/>
  <c r="AF7" i="53" s="1"/>
  <c r="AG8" i="53"/>
  <c r="AE7" i="50"/>
  <c r="AF7" i="50" s="1"/>
  <c r="AG8" i="50"/>
  <c r="AE7" i="49"/>
  <c r="AF7" i="49" s="1"/>
  <c r="AG8" i="49"/>
  <c r="AE7" i="52"/>
  <c r="AF7" i="52" s="1"/>
  <c r="AG8" i="52"/>
  <c r="AG8" i="51"/>
  <c r="AE7" i="51"/>
  <c r="AF7" i="51" s="1"/>
  <c r="AE7" i="48"/>
  <c r="AF7" i="48" s="1"/>
  <c r="AG8" i="48"/>
  <c r="AG8" i="47"/>
  <c r="AE7" i="47"/>
  <c r="AF7" i="47" s="1"/>
  <c r="AG8" i="46"/>
  <c r="AE7" i="46"/>
  <c r="AF7" i="46" s="1"/>
  <c r="U14" i="1"/>
  <c r="AI11" i="1"/>
  <c r="AJ10" i="1"/>
  <c r="AE8" i="65" l="1"/>
  <c r="AF8" i="65" s="1"/>
  <c r="AG9" i="65"/>
  <c r="AE8" i="61"/>
  <c r="AF8" i="61" s="1"/>
  <c r="AG9" i="61"/>
  <c r="AE8" i="63"/>
  <c r="AF8" i="63" s="1"/>
  <c r="AG9" i="63"/>
  <c r="AG9" i="62"/>
  <c r="AE8" i="62"/>
  <c r="AF8" i="62" s="1"/>
  <c r="AG9" i="64"/>
  <c r="AE8" i="64"/>
  <c r="AF8" i="64" s="1"/>
  <c r="AE8" i="54"/>
  <c r="AF8" i="54" s="1"/>
  <c r="AG9" i="54"/>
  <c r="AE8" i="60"/>
  <c r="AF8" i="60" s="1"/>
  <c r="AG9" i="60"/>
  <c r="AE8" i="59"/>
  <c r="AF8" i="59" s="1"/>
  <c r="AG9" i="59"/>
  <c r="AE8" i="53"/>
  <c r="AF8" i="53" s="1"/>
  <c r="AG9" i="53"/>
  <c r="AE8" i="57"/>
  <c r="AF8" i="57" s="1"/>
  <c r="AG9" i="57"/>
  <c r="AG9" i="56"/>
  <c r="AE8" i="56"/>
  <c r="AF8" i="56" s="1"/>
  <c r="AG9" i="55"/>
  <c r="AE8" i="55"/>
  <c r="AF8" i="55" s="1"/>
  <c r="AG9" i="58"/>
  <c r="AE8" i="58"/>
  <c r="AF8" i="58" s="1"/>
  <c r="AE8" i="52"/>
  <c r="AF8" i="52" s="1"/>
  <c r="AG9" i="52"/>
  <c r="AE8" i="50"/>
  <c r="AF8" i="50" s="1"/>
  <c r="AG9" i="50"/>
  <c r="AE8" i="49"/>
  <c r="AF8" i="49" s="1"/>
  <c r="AG9" i="49"/>
  <c r="AG9" i="51"/>
  <c r="AE8" i="51"/>
  <c r="AF8" i="51" s="1"/>
  <c r="AG9" i="47"/>
  <c r="AE8" i="47"/>
  <c r="AF8" i="47" s="1"/>
  <c r="AE8" i="48"/>
  <c r="AF8" i="48" s="1"/>
  <c r="AG9" i="48"/>
  <c r="AE8" i="46"/>
  <c r="AF8" i="46" s="1"/>
  <c r="AG9" i="46"/>
  <c r="AI12" i="1"/>
  <c r="AJ11" i="1"/>
  <c r="U15" i="1"/>
  <c r="AG10" i="62" l="1"/>
  <c r="AE9" i="62"/>
  <c r="AF9" i="62" s="1"/>
  <c r="AG10" i="61"/>
  <c r="AE9" i="61"/>
  <c r="AF9" i="61" s="1"/>
  <c r="AG10" i="63"/>
  <c r="AE9" i="63"/>
  <c r="AF9" i="63" s="1"/>
  <c r="AE9" i="65"/>
  <c r="AF9" i="65" s="1"/>
  <c r="AG10" i="65"/>
  <c r="AG10" i="64"/>
  <c r="AE9" i="64"/>
  <c r="AF9" i="64" s="1"/>
  <c r="AE9" i="53"/>
  <c r="AF9" i="53" s="1"/>
  <c r="AG10" i="53"/>
  <c r="AG10" i="58"/>
  <c r="AE9" i="58"/>
  <c r="AF9" i="58" s="1"/>
  <c r="AG10" i="56"/>
  <c r="AE9" i="56"/>
  <c r="AF9" i="56" s="1"/>
  <c r="AE9" i="60"/>
  <c r="AF9" i="60" s="1"/>
  <c r="AG10" i="60"/>
  <c r="AG10" i="57"/>
  <c r="AE9" i="57"/>
  <c r="AF9" i="57" s="1"/>
  <c r="AE9" i="59"/>
  <c r="AF9" i="59" s="1"/>
  <c r="AG10" i="59"/>
  <c r="AE9" i="54"/>
  <c r="AF9" i="54" s="1"/>
  <c r="AG10" i="54"/>
  <c r="AG10" i="55"/>
  <c r="AE9" i="55"/>
  <c r="AF9" i="55" s="1"/>
  <c r="AE9" i="50"/>
  <c r="AF9" i="50" s="1"/>
  <c r="AG10" i="50"/>
  <c r="AE9" i="49"/>
  <c r="AF9" i="49" s="1"/>
  <c r="AG10" i="49"/>
  <c r="AE9" i="52"/>
  <c r="AF9" i="52" s="1"/>
  <c r="AG10" i="52"/>
  <c r="AG10" i="51"/>
  <c r="AE9" i="51"/>
  <c r="AF9" i="51" s="1"/>
  <c r="AE9" i="48"/>
  <c r="AF9" i="48" s="1"/>
  <c r="AG10" i="48"/>
  <c r="AG10" i="47"/>
  <c r="AE9" i="47"/>
  <c r="AF9" i="47" s="1"/>
  <c r="AE9" i="46"/>
  <c r="AF9" i="46" s="1"/>
  <c r="AG10" i="46"/>
  <c r="AI13" i="1"/>
  <c r="AJ12" i="1"/>
  <c r="Q6" i="1"/>
  <c r="AG11" i="61" l="1"/>
  <c r="AE10" i="61"/>
  <c r="AF10" i="61" s="1"/>
  <c r="AE10" i="65"/>
  <c r="AF10" i="65" s="1"/>
  <c r="AG11" i="65"/>
  <c r="AG11" i="64"/>
  <c r="AE10" i="64"/>
  <c r="AF10" i="64" s="1"/>
  <c r="AE10" i="63"/>
  <c r="AF10" i="63" s="1"/>
  <c r="AG11" i="63"/>
  <c r="AE10" i="62"/>
  <c r="AF10" i="62" s="1"/>
  <c r="AG11" i="62"/>
  <c r="AE10" i="59"/>
  <c r="AF10" i="59" s="1"/>
  <c r="AG11" i="59"/>
  <c r="AE10" i="60"/>
  <c r="AF10" i="60" s="1"/>
  <c r="AG11" i="60"/>
  <c r="AG11" i="55"/>
  <c r="AE10" i="55"/>
  <c r="AF10" i="55" s="1"/>
  <c r="AG11" i="58"/>
  <c r="AE10" i="58"/>
  <c r="AF10" i="58" s="1"/>
  <c r="AE10" i="54"/>
  <c r="AF10" i="54" s="1"/>
  <c r="AG11" i="54"/>
  <c r="AG11" i="53"/>
  <c r="AE10" i="53"/>
  <c r="AF10" i="53" s="1"/>
  <c r="AG11" i="57"/>
  <c r="AE10" i="57"/>
  <c r="AF10" i="57" s="1"/>
  <c r="AE10" i="56"/>
  <c r="AF10" i="56" s="1"/>
  <c r="AG11" i="56"/>
  <c r="AE10" i="49"/>
  <c r="AF10" i="49" s="1"/>
  <c r="AG11" i="49"/>
  <c r="AE10" i="51"/>
  <c r="AF10" i="51" s="1"/>
  <c r="AG11" i="51"/>
  <c r="AE10" i="52"/>
  <c r="AF10" i="52" s="1"/>
  <c r="AG11" i="52"/>
  <c r="AE10" i="50"/>
  <c r="AF10" i="50" s="1"/>
  <c r="AG11" i="50"/>
  <c r="AG11" i="47"/>
  <c r="AE10" i="47"/>
  <c r="AF10" i="47" s="1"/>
  <c r="AE10" i="48"/>
  <c r="AF10" i="48" s="1"/>
  <c r="AG11" i="48"/>
  <c r="AE10" i="46"/>
  <c r="AF10" i="46" s="1"/>
  <c r="AG11" i="46"/>
  <c r="Q7" i="1"/>
  <c r="AI14" i="1"/>
  <c r="AJ13" i="1"/>
  <c r="AE11" i="65" l="1"/>
  <c r="AF11" i="65" s="1"/>
  <c r="AG12" i="65"/>
  <c r="AE11" i="62"/>
  <c r="AF11" i="62" s="1"/>
  <c r="AG12" i="62"/>
  <c r="AE11" i="63"/>
  <c r="AF11" i="63" s="1"/>
  <c r="AG12" i="63"/>
  <c r="AE11" i="64"/>
  <c r="AF11" i="64" s="1"/>
  <c r="AG12" i="64"/>
  <c r="AG12" i="61"/>
  <c r="AE11" i="61"/>
  <c r="AF11" i="61" s="1"/>
  <c r="AE11" i="60"/>
  <c r="AF11" i="60" s="1"/>
  <c r="AG12" i="60"/>
  <c r="AE11" i="53"/>
  <c r="AF11" i="53" s="1"/>
  <c r="AG12" i="53"/>
  <c r="AG12" i="58"/>
  <c r="AE11" i="58"/>
  <c r="AF11" i="58" s="1"/>
  <c r="AG12" i="54"/>
  <c r="AE11" i="54"/>
  <c r="AF11" i="54" s="1"/>
  <c r="AG12" i="59"/>
  <c r="AE11" i="59"/>
  <c r="AF11" i="59" s="1"/>
  <c r="AE11" i="56"/>
  <c r="AF11" i="56" s="1"/>
  <c r="AG12" i="56"/>
  <c r="AG12" i="57"/>
  <c r="AE11" i="57"/>
  <c r="AF11" i="57" s="1"/>
  <c r="AG12" i="55"/>
  <c r="AE11" i="55"/>
  <c r="AF11" i="55" s="1"/>
  <c r="AG12" i="50"/>
  <c r="AE11" i="50"/>
  <c r="AF11" i="50" s="1"/>
  <c r="AE11" i="52"/>
  <c r="AF11" i="52" s="1"/>
  <c r="AG12" i="52"/>
  <c r="AE11" i="49"/>
  <c r="AF11" i="49" s="1"/>
  <c r="AG12" i="49"/>
  <c r="AE11" i="51"/>
  <c r="AF11" i="51" s="1"/>
  <c r="AG12" i="51"/>
  <c r="AE11" i="48"/>
  <c r="AF11" i="48" s="1"/>
  <c r="AG12" i="48"/>
  <c r="AG12" i="47"/>
  <c r="AE11" i="47"/>
  <c r="AF11" i="47" s="1"/>
  <c r="AE11" i="46"/>
  <c r="AF11" i="46" s="1"/>
  <c r="AG12" i="46"/>
  <c r="AI15" i="1"/>
  <c r="AJ14" i="1"/>
  <c r="Q8" i="1"/>
  <c r="AG13" i="64" l="1"/>
  <c r="AE12" i="64"/>
  <c r="AF12" i="64" s="1"/>
  <c r="AG13" i="63"/>
  <c r="AE12" i="63"/>
  <c r="AF12" i="63" s="1"/>
  <c r="AG13" i="65"/>
  <c r="AE12" i="65"/>
  <c r="AF12" i="65" s="1"/>
  <c r="AG13" i="62"/>
  <c r="AE12" i="62"/>
  <c r="AF12" i="62" s="1"/>
  <c r="AG13" i="61"/>
  <c r="AE12" i="61"/>
  <c r="AF12" i="61" s="1"/>
  <c r="AG13" i="56"/>
  <c r="AE12" i="56"/>
  <c r="AF12" i="56" s="1"/>
  <c r="AG13" i="53"/>
  <c r="AE12" i="53"/>
  <c r="AF12" i="53" s="1"/>
  <c r="AG13" i="55"/>
  <c r="AE12" i="55"/>
  <c r="AF12" i="55" s="1"/>
  <c r="AE12" i="54"/>
  <c r="AF12" i="54" s="1"/>
  <c r="AG13" i="54"/>
  <c r="AG13" i="60"/>
  <c r="AE12" i="60"/>
  <c r="AF12" i="60" s="1"/>
  <c r="AG13" i="57"/>
  <c r="AE12" i="57"/>
  <c r="AF12" i="57" s="1"/>
  <c r="AG13" i="59"/>
  <c r="AE12" i="59"/>
  <c r="AF12" i="59" s="1"/>
  <c r="AG13" i="58"/>
  <c r="AE12" i="58"/>
  <c r="AF12" i="58" s="1"/>
  <c r="AG13" i="52"/>
  <c r="AE12" i="52"/>
  <c r="AF12" i="52" s="1"/>
  <c r="AG13" i="49"/>
  <c r="AE12" i="49"/>
  <c r="AF12" i="49" s="1"/>
  <c r="AG13" i="51"/>
  <c r="AE12" i="51"/>
  <c r="AF12" i="51" s="1"/>
  <c r="AG13" i="50"/>
  <c r="AE12" i="50"/>
  <c r="AF12" i="50" s="1"/>
  <c r="AG13" i="47"/>
  <c r="AE12" i="47"/>
  <c r="AF12" i="47" s="1"/>
  <c r="AG13" i="48"/>
  <c r="AE12" i="48"/>
  <c r="AF12" i="48" s="1"/>
  <c r="AG13" i="46"/>
  <c r="AE12" i="46"/>
  <c r="AF12" i="46" s="1"/>
  <c r="Q9" i="1"/>
  <c r="AJ15" i="1"/>
  <c r="AE6" i="1"/>
  <c r="AG14" i="62" l="1"/>
  <c r="AE13" i="62"/>
  <c r="AF13" i="62" s="1"/>
  <c r="AG14" i="63"/>
  <c r="AE13" i="63"/>
  <c r="AF13" i="63" s="1"/>
  <c r="AE13" i="61"/>
  <c r="AF13" i="61" s="1"/>
  <c r="AG14" i="61"/>
  <c r="AG14" i="65"/>
  <c r="AE13" i="65"/>
  <c r="AF13" i="65" s="1"/>
  <c r="AG14" i="64"/>
  <c r="AE13" i="64"/>
  <c r="AF13" i="64" s="1"/>
  <c r="AE13" i="54"/>
  <c r="AF13" i="54" s="1"/>
  <c r="AG14" i="54"/>
  <c r="AE13" i="58"/>
  <c r="AF13" i="58" s="1"/>
  <c r="AG14" i="58"/>
  <c r="AE13" i="57"/>
  <c r="AF13" i="57" s="1"/>
  <c r="AG14" i="57"/>
  <c r="AG14" i="53"/>
  <c r="AE13" i="53"/>
  <c r="AF13" i="53" s="1"/>
  <c r="AG14" i="59"/>
  <c r="AE13" i="59"/>
  <c r="AF13" i="59" s="1"/>
  <c r="AG14" i="60"/>
  <c r="AE13" i="60"/>
  <c r="AF13" i="60" s="1"/>
  <c r="AE13" i="55"/>
  <c r="AF13" i="55" s="1"/>
  <c r="AG14" i="55"/>
  <c r="AG14" i="56"/>
  <c r="AE13" i="56"/>
  <c r="AF13" i="56" s="1"/>
  <c r="AE13" i="50"/>
  <c r="AF13" i="50" s="1"/>
  <c r="AG14" i="50"/>
  <c r="AG14" i="49"/>
  <c r="AE13" i="49"/>
  <c r="AF13" i="49" s="1"/>
  <c r="AG14" i="51"/>
  <c r="AE13" i="51"/>
  <c r="AF13" i="51" s="1"/>
  <c r="AG14" i="52"/>
  <c r="AE13" i="52"/>
  <c r="AF13" i="52" s="1"/>
  <c r="AG14" i="48"/>
  <c r="AE13" i="48"/>
  <c r="AF13" i="48" s="1"/>
  <c r="AE13" i="47"/>
  <c r="AF13" i="47" s="1"/>
  <c r="AG14" i="47"/>
  <c r="AG14" i="46"/>
  <c r="AE13" i="46"/>
  <c r="AF13" i="46" s="1"/>
  <c r="AE7" i="1"/>
  <c r="AF6" i="1"/>
  <c r="Q10" i="1"/>
  <c r="AG15" i="65" l="1"/>
  <c r="AE14" i="65"/>
  <c r="AF14" i="65" s="1"/>
  <c r="AG15" i="63"/>
  <c r="AE14" i="63"/>
  <c r="AF14" i="63" s="1"/>
  <c r="AE14" i="61"/>
  <c r="AF14" i="61" s="1"/>
  <c r="AG15" i="61"/>
  <c r="AG15" i="64"/>
  <c r="AE14" i="64"/>
  <c r="AF14" i="64" s="1"/>
  <c r="AG15" i="62"/>
  <c r="AE14" i="62"/>
  <c r="AF14" i="62" s="1"/>
  <c r="AE14" i="58"/>
  <c r="AF14" i="58" s="1"/>
  <c r="AG15" i="58"/>
  <c r="AG15" i="56"/>
  <c r="AE14" i="56"/>
  <c r="AF14" i="56" s="1"/>
  <c r="AG15" i="60"/>
  <c r="AE14" i="60"/>
  <c r="AF14" i="60" s="1"/>
  <c r="AG15" i="53"/>
  <c r="AE14" i="53"/>
  <c r="AF14" i="53" s="1"/>
  <c r="AE14" i="55"/>
  <c r="AF14" i="55" s="1"/>
  <c r="AG15" i="55"/>
  <c r="AG15" i="57"/>
  <c r="AE14" i="57"/>
  <c r="AF14" i="57" s="1"/>
  <c r="AE14" i="54"/>
  <c r="AF14" i="54" s="1"/>
  <c r="AG15" i="54"/>
  <c r="AG15" i="59"/>
  <c r="AE14" i="59"/>
  <c r="AF14" i="59" s="1"/>
  <c r="AE14" i="50"/>
  <c r="AF14" i="50" s="1"/>
  <c r="AG15" i="50"/>
  <c r="AG15" i="52"/>
  <c r="AE14" i="52"/>
  <c r="AF14" i="52" s="1"/>
  <c r="AG15" i="49"/>
  <c r="AE14" i="49"/>
  <c r="AF14" i="49" s="1"/>
  <c r="AE14" i="51"/>
  <c r="AF14" i="51" s="1"/>
  <c r="AG15" i="51"/>
  <c r="AG15" i="47"/>
  <c r="AE14" i="47"/>
  <c r="AF14" i="47" s="1"/>
  <c r="AG15" i="48"/>
  <c r="AE14" i="48"/>
  <c r="AF14" i="48" s="1"/>
  <c r="AG15" i="46"/>
  <c r="AE14" i="46"/>
  <c r="AF14" i="46" s="1"/>
  <c r="Q11" i="1"/>
  <c r="AE8" i="1"/>
  <c r="AF7" i="1"/>
  <c r="AE15" i="64" l="1"/>
  <c r="AF15" i="64" s="1"/>
  <c r="AC6" i="64"/>
  <c r="AC6" i="63"/>
  <c r="AE15" i="63"/>
  <c r="AF15" i="63" s="1"/>
  <c r="AE15" i="61"/>
  <c r="AF15" i="61" s="1"/>
  <c r="AC6" i="61"/>
  <c r="AC6" i="62"/>
  <c r="AE15" i="62"/>
  <c r="AF15" i="62" s="1"/>
  <c r="AC6" i="65"/>
  <c r="AE15" i="65"/>
  <c r="AF15" i="65" s="1"/>
  <c r="AE15" i="59"/>
  <c r="AF15" i="59" s="1"/>
  <c r="AC6" i="59"/>
  <c r="AE15" i="57"/>
  <c r="AF15" i="57" s="1"/>
  <c r="AC6" i="57"/>
  <c r="AC6" i="53"/>
  <c r="AE15" i="53"/>
  <c r="AF15" i="53" s="1"/>
  <c r="AC6" i="56"/>
  <c r="AE15" i="56"/>
  <c r="AF15" i="56" s="1"/>
  <c r="AC6" i="54"/>
  <c r="AE15" i="54"/>
  <c r="AF15" i="54" s="1"/>
  <c r="AE15" i="55"/>
  <c r="AF15" i="55" s="1"/>
  <c r="AC6" i="55"/>
  <c r="AE15" i="58"/>
  <c r="AF15" i="58" s="1"/>
  <c r="AC6" i="58"/>
  <c r="AE15" i="60"/>
  <c r="AF15" i="60" s="1"/>
  <c r="AC6" i="60"/>
  <c r="AE15" i="51"/>
  <c r="AF15" i="51" s="1"/>
  <c r="AC6" i="51"/>
  <c r="AC6" i="50"/>
  <c r="AE15" i="50"/>
  <c r="AF15" i="50" s="1"/>
  <c r="AE15" i="52"/>
  <c r="AF15" i="52" s="1"/>
  <c r="AC6" i="52"/>
  <c r="AC6" i="49"/>
  <c r="AE15" i="49"/>
  <c r="AF15" i="49" s="1"/>
  <c r="AE15" i="48"/>
  <c r="AF15" i="48" s="1"/>
  <c r="AC6" i="48"/>
  <c r="AE15" i="47"/>
  <c r="AF15" i="47" s="1"/>
  <c r="AC6" i="47"/>
  <c r="AE15" i="46"/>
  <c r="AF15" i="46" s="1"/>
  <c r="AC6" i="46"/>
  <c r="AE9" i="1"/>
  <c r="AF8" i="1"/>
  <c r="Q12" i="1"/>
  <c r="AC7" i="62" l="1"/>
  <c r="AA6" i="62"/>
  <c r="AB6" i="62" s="1"/>
  <c r="AA6" i="63"/>
  <c r="AB6" i="63" s="1"/>
  <c r="AC7" i="63"/>
  <c r="AC7" i="61"/>
  <c r="AA6" i="61"/>
  <c r="AB6" i="61" s="1"/>
  <c r="AC7" i="64"/>
  <c r="AA6" i="64"/>
  <c r="AB6" i="64" s="1"/>
  <c r="AC7" i="65"/>
  <c r="AA6" i="65"/>
  <c r="AB6" i="65" s="1"/>
  <c r="AA6" i="60"/>
  <c r="AB6" i="60" s="1"/>
  <c r="AC7" i="60"/>
  <c r="AC7" i="55"/>
  <c r="AA6" i="55"/>
  <c r="AB6" i="55" s="1"/>
  <c r="AC7" i="57"/>
  <c r="AA6" i="57"/>
  <c r="AB6" i="57" s="1"/>
  <c r="AC7" i="56"/>
  <c r="AA6" i="56"/>
  <c r="AB6" i="56" s="1"/>
  <c r="AC7" i="58"/>
  <c r="AA6" i="58"/>
  <c r="AB6" i="58" s="1"/>
  <c r="AC7" i="59"/>
  <c r="AA6" i="59"/>
  <c r="AB6" i="59" s="1"/>
  <c r="AC7" i="54"/>
  <c r="AA6" i="54"/>
  <c r="AB6" i="54" s="1"/>
  <c r="AC7" i="53"/>
  <c r="AA6" i="53"/>
  <c r="AB6" i="53" s="1"/>
  <c r="AC7" i="49"/>
  <c r="AA6" i="49"/>
  <c r="AB6" i="49" s="1"/>
  <c r="AC7" i="50"/>
  <c r="AA6" i="50"/>
  <c r="AB6" i="50" s="1"/>
  <c r="AC7" i="52"/>
  <c r="AA6" i="52"/>
  <c r="AB6" i="52" s="1"/>
  <c r="AA6" i="51"/>
  <c r="AB6" i="51" s="1"/>
  <c r="AC7" i="51"/>
  <c r="AC7" i="47"/>
  <c r="AA6" i="47"/>
  <c r="AB6" i="47" s="1"/>
  <c r="AC7" i="48"/>
  <c r="AA6" i="48"/>
  <c r="AB6" i="48" s="1"/>
  <c r="AC7" i="46"/>
  <c r="AA6" i="46"/>
  <c r="AB6" i="46" s="1"/>
  <c r="Q13" i="1"/>
  <c r="AE10" i="1"/>
  <c r="AF9" i="1"/>
  <c r="AA7" i="63" l="1"/>
  <c r="AB7" i="63" s="1"/>
  <c r="AC8" i="63"/>
  <c r="AC8" i="64"/>
  <c r="AA7" i="64"/>
  <c r="AB7" i="64" s="1"/>
  <c r="AA7" i="65"/>
  <c r="AB7" i="65" s="1"/>
  <c r="AC8" i="65"/>
  <c r="AC8" i="61"/>
  <c r="AA7" i="61"/>
  <c r="AB7" i="61" s="1"/>
  <c r="AC8" i="62"/>
  <c r="AA7" i="62"/>
  <c r="AB7" i="62" s="1"/>
  <c r="AA7" i="53"/>
  <c r="AB7" i="53" s="1"/>
  <c r="AC8" i="53"/>
  <c r="AC8" i="59"/>
  <c r="AA7" i="59"/>
  <c r="AB7" i="59" s="1"/>
  <c r="AC8" i="56"/>
  <c r="AA7" i="56"/>
  <c r="AB7" i="56" s="1"/>
  <c r="AC8" i="55"/>
  <c r="AA7" i="55"/>
  <c r="AB7" i="55" s="1"/>
  <c r="AC8" i="60"/>
  <c r="AA7" i="60"/>
  <c r="AB7" i="60" s="1"/>
  <c r="AA7" i="54"/>
  <c r="AB7" i="54" s="1"/>
  <c r="AC8" i="54"/>
  <c r="AC8" i="58"/>
  <c r="AA7" i="58"/>
  <c r="AB7" i="58" s="1"/>
  <c r="AA7" i="57"/>
  <c r="AB7" i="57" s="1"/>
  <c r="AC8" i="57"/>
  <c r="AA7" i="50"/>
  <c r="AB7" i="50" s="1"/>
  <c r="AC8" i="50"/>
  <c r="AC8" i="51"/>
  <c r="AA7" i="51"/>
  <c r="AB7" i="51" s="1"/>
  <c r="AC8" i="52"/>
  <c r="AA7" i="52"/>
  <c r="AB7" i="52" s="1"/>
  <c r="AA7" i="49"/>
  <c r="AB7" i="49" s="1"/>
  <c r="AC8" i="49"/>
  <c r="AC8" i="48"/>
  <c r="AA7" i="48"/>
  <c r="AB7" i="48" s="1"/>
  <c r="AC8" i="47"/>
  <c r="AA7" i="47"/>
  <c r="AB7" i="47" s="1"/>
  <c r="AC8" i="46"/>
  <c r="AA7" i="46"/>
  <c r="AB7" i="46" s="1"/>
  <c r="AE11" i="1"/>
  <c r="AF10" i="1"/>
  <c r="Q14" i="1"/>
  <c r="AC9" i="61" l="1"/>
  <c r="AA8" i="61"/>
  <c r="AB8" i="61" s="1"/>
  <c r="AC9" i="64"/>
  <c r="AA8" i="64"/>
  <c r="AB8" i="64" s="1"/>
  <c r="AC9" i="65"/>
  <c r="AA8" i="65"/>
  <c r="AB8" i="65" s="1"/>
  <c r="AA8" i="63"/>
  <c r="AB8" i="63" s="1"/>
  <c r="AC9" i="63"/>
  <c r="AC9" i="62"/>
  <c r="AA8" i="62"/>
  <c r="AB8" i="62" s="1"/>
  <c r="AA8" i="54"/>
  <c r="AB8" i="54" s="1"/>
  <c r="AC9" i="54"/>
  <c r="AC9" i="55"/>
  <c r="AA8" i="55"/>
  <c r="AB8" i="55" s="1"/>
  <c r="AA8" i="59"/>
  <c r="AB8" i="59" s="1"/>
  <c r="AC9" i="59"/>
  <c r="AA8" i="53"/>
  <c r="AB8" i="53" s="1"/>
  <c r="AC9" i="53"/>
  <c r="AA8" i="57"/>
  <c r="AB8" i="57" s="1"/>
  <c r="AC9" i="57"/>
  <c r="AC9" i="58"/>
  <c r="AA8" i="58"/>
  <c r="AB8" i="58" s="1"/>
  <c r="AA8" i="60"/>
  <c r="AB8" i="60" s="1"/>
  <c r="AC9" i="60"/>
  <c r="AC9" i="56"/>
  <c r="AA8" i="56"/>
  <c r="AB8" i="56" s="1"/>
  <c r="AA8" i="49"/>
  <c r="AB8" i="49" s="1"/>
  <c r="AC9" i="49"/>
  <c r="AA8" i="50"/>
  <c r="AB8" i="50" s="1"/>
  <c r="AC9" i="50"/>
  <c r="AC9" i="51"/>
  <c r="AA8" i="51"/>
  <c r="AB8" i="51" s="1"/>
  <c r="AA8" i="52"/>
  <c r="AB8" i="52" s="1"/>
  <c r="AC9" i="52"/>
  <c r="AC9" i="47"/>
  <c r="AA8" i="47"/>
  <c r="AB8" i="47" s="1"/>
  <c r="AA8" i="48"/>
  <c r="AB8" i="48" s="1"/>
  <c r="AC9" i="48"/>
  <c r="AA8" i="46"/>
  <c r="AB8" i="46" s="1"/>
  <c r="AC9" i="46"/>
  <c r="Q15" i="1"/>
  <c r="AE12" i="1"/>
  <c r="AF11" i="1"/>
  <c r="AC10" i="64" l="1"/>
  <c r="AA9" i="64"/>
  <c r="AB9" i="64" s="1"/>
  <c r="AC10" i="63"/>
  <c r="AA9" i="63"/>
  <c r="AB9" i="63" s="1"/>
  <c r="AC10" i="62"/>
  <c r="AA9" i="62"/>
  <c r="AB9" i="62" s="1"/>
  <c r="AA9" i="65"/>
  <c r="AB9" i="65" s="1"/>
  <c r="AC10" i="65"/>
  <c r="AC10" i="61"/>
  <c r="AA9" i="61"/>
  <c r="AB9" i="61" s="1"/>
  <c r="AA9" i="53"/>
  <c r="AB9" i="53" s="1"/>
  <c r="AC10" i="53"/>
  <c r="AC10" i="56"/>
  <c r="AA9" i="56"/>
  <c r="AB9" i="56" s="1"/>
  <c r="AC10" i="58"/>
  <c r="AA9" i="58"/>
  <c r="AB9" i="58" s="1"/>
  <c r="AC10" i="55"/>
  <c r="AA9" i="55"/>
  <c r="AB9" i="55" s="1"/>
  <c r="AA9" i="60"/>
  <c r="AB9" i="60" s="1"/>
  <c r="AC10" i="60"/>
  <c r="AA9" i="57"/>
  <c r="AB9" i="57" s="1"/>
  <c r="AC10" i="57"/>
  <c r="AA9" i="59"/>
  <c r="AB9" i="59" s="1"/>
  <c r="AC10" i="59"/>
  <c r="AA9" i="54"/>
  <c r="AB9" i="54" s="1"/>
  <c r="AC10" i="54"/>
  <c r="AA9" i="52"/>
  <c r="AB9" i="52" s="1"/>
  <c r="AC10" i="52"/>
  <c r="AA9" i="49"/>
  <c r="AB9" i="49" s="1"/>
  <c r="AC10" i="49"/>
  <c r="AA9" i="50"/>
  <c r="AB9" i="50" s="1"/>
  <c r="AC10" i="50"/>
  <c r="AC10" i="51"/>
  <c r="AA9" i="51"/>
  <c r="AB9" i="51" s="1"/>
  <c r="AA9" i="48"/>
  <c r="AB9" i="48" s="1"/>
  <c r="AC10" i="48"/>
  <c r="AC10" i="47"/>
  <c r="AA9" i="47"/>
  <c r="AB9" i="47" s="1"/>
  <c r="AA9" i="46"/>
  <c r="AB9" i="46" s="1"/>
  <c r="AC10" i="46"/>
  <c r="AE13" i="1"/>
  <c r="AF12" i="1"/>
  <c r="M6" i="1"/>
  <c r="AA10" i="63" l="1"/>
  <c r="AB10" i="63" s="1"/>
  <c r="AC11" i="63"/>
  <c r="AA10" i="65"/>
  <c r="AB10" i="65" s="1"/>
  <c r="AC11" i="65"/>
  <c r="AC11" i="61"/>
  <c r="AA10" i="61"/>
  <c r="AB10" i="61" s="1"/>
  <c r="AA10" i="62"/>
  <c r="AB10" i="62" s="1"/>
  <c r="AC11" i="62"/>
  <c r="AC11" i="64"/>
  <c r="AA10" i="64"/>
  <c r="AB10" i="64" s="1"/>
  <c r="AA10" i="54"/>
  <c r="AB10" i="54" s="1"/>
  <c r="AC11" i="54"/>
  <c r="AC11" i="55"/>
  <c r="AA10" i="55"/>
  <c r="AB10" i="55" s="1"/>
  <c r="AC11" i="56"/>
  <c r="AA10" i="56"/>
  <c r="AB10" i="56" s="1"/>
  <c r="AA10" i="57"/>
  <c r="AB10" i="57" s="1"/>
  <c r="AC11" i="57"/>
  <c r="AA10" i="59"/>
  <c r="AB10" i="59" s="1"/>
  <c r="AC11" i="59"/>
  <c r="AA10" i="60"/>
  <c r="AB10" i="60" s="1"/>
  <c r="AC11" i="60"/>
  <c r="AA10" i="53"/>
  <c r="AB10" i="53" s="1"/>
  <c r="AC11" i="53"/>
  <c r="AC11" i="58"/>
  <c r="AA10" i="58"/>
  <c r="AB10" i="58" s="1"/>
  <c r="AA10" i="49"/>
  <c r="AB10" i="49" s="1"/>
  <c r="AC11" i="49"/>
  <c r="AA10" i="50"/>
  <c r="AB10" i="50" s="1"/>
  <c r="AC11" i="50"/>
  <c r="AA10" i="52"/>
  <c r="AB10" i="52" s="1"/>
  <c r="AC11" i="52"/>
  <c r="AA10" i="51"/>
  <c r="AB10" i="51" s="1"/>
  <c r="AC11" i="51"/>
  <c r="AC11" i="47"/>
  <c r="AA10" i="47"/>
  <c r="AB10" i="47" s="1"/>
  <c r="AA10" i="48"/>
  <c r="AB10" i="48" s="1"/>
  <c r="AC11" i="48"/>
  <c r="AA10" i="46"/>
  <c r="AB10" i="46" s="1"/>
  <c r="AC11" i="46"/>
  <c r="M7" i="1"/>
  <c r="AE14" i="1"/>
  <c r="AF13" i="1"/>
  <c r="AA11" i="62" l="1"/>
  <c r="AB11" i="62" s="1"/>
  <c r="AC12" i="62"/>
  <c r="AA11" i="63"/>
  <c r="AB11" i="63" s="1"/>
  <c r="AC12" i="63"/>
  <c r="AA11" i="65"/>
  <c r="AB11" i="65" s="1"/>
  <c r="AC12" i="65"/>
  <c r="AA11" i="64"/>
  <c r="AB11" i="64" s="1"/>
  <c r="AC12" i="64"/>
  <c r="AC12" i="61"/>
  <c r="AA11" i="61"/>
  <c r="AB11" i="61" s="1"/>
  <c r="AA11" i="60"/>
  <c r="AB11" i="60" s="1"/>
  <c r="AC12" i="60"/>
  <c r="AA11" i="57"/>
  <c r="AB11" i="57" s="1"/>
  <c r="AC12" i="57"/>
  <c r="AC12" i="58"/>
  <c r="AA11" i="58"/>
  <c r="AB11" i="58" s="1"/>
  <c r="AC12" i="55"/>
  <c r="AA11" i="55"/>
  <c r="AB11" i="55" s="1"/>
  <c r="AA11" i="53"/>
  <c r="AB11" i="53" s="1"/>
  <c r="AC12" i="53"/>
  <c r="AC12" i="59"/>
  <c r="AA11" i="59"/>
  <c r="AB11" i="59" s="1"/>
  <c r="AC12" i="54"/>
  <c r="AA11" i="54"/>
  <c r="AB11" i="54" s="1"/>
  <c r="AA11" i="56"/>
  <c r="AB11" i="56" s="1"/>
  <c r="AC12" i="56"/>
  <c r="AA11" i="51"/>
  <c r="AB11" i="51" s="1"/>
  <c r="AC12" i="51"/>
  <c r="AC12" i="50"/>
  <c r="AA11" i="50"/>
  <c r="AB11" i="50" s="1"/>
  <c r="AA11" i="52"/>
  <c r="AB11" i="52" s="1"/>
  <c r="AC12" i="52"/>
  <c r="AA11" i="49"/>
  <c r="AB11" i="49" s="1"/>
  <c r="AC12" i="49"/>
  <c r="AA11" i="48"/>
  <c r="AB11" i="48" s="1"/>
  <c r="AC12" i="48"/>
  <c r="AC12" i="47"/>
  <c r="AA11" i="47"/>
  <c r="AB11" i="47" s="1"/>
  <c r="AA11" i="46"/>
  <c r="AB11" i="46" s="1"/>
  <c r="AC12" i="46"/>
  <c r="AE15" i="1"/>
  <c r="AF14" i="1"/>
  <c r="M8" i="1"/>
  <c r="AC13" i="63" l="1"/>
  <c r="AA12" i="63"/>
  <c r="AB12" i="63" s="1"/>
  <c r="AC13" i="65"/>
  <c r="AA12" i="65"/>
  <c r="AB12" i="65" s="1"/>
  <c r="AC13" i="62"/>
  <c r="AA12" i="62"/>
  <c r="AB12" i="62" s="1"/>
  <c r="AC13" i="64"/>
  <c r="AA12" i="64"/>
  <c r="AB12" i="64" s="1"/>
  <c r="AC13" i="61"/>
  <c r="AA12" i="61"/>
  <c r="AB12" i="61" s="1"/>
  <c r="AC13" i="56"/>
  <c r="AA12" i="56"/>
  <c r="AB12" i="56" s="1"/>
  <c r="AC13" i="59"/>
  <c r="AA12" i="59"/>
  <c r="AB12" i="59" s="1"/>
  <c r="AA12" i="55"/>
  <c r="AB12" i="55" s="1"/>
  <c r="AC13" i="55"/>
  <c r="AC13" i="57"/>
  <c r="AA12" i="57"/>
  <c r="AB12" i="57" s="1"/>
  <c r="AC13" i="53"/>
  <c r="AA12" i="53"/>
  <c r="AB12" i="53" s="1"/>
  <c r="AC13" i="60"/>
  <c r="AA12" i="60"/>
  <c r="AB12" i="60" s="1"/>
  <c r="AA12" i="54"/>
  <c r="AB12" i="54" s="1"/>
  <c r="AC13" i="54"/>
  <c r="AC13" i="58"/>
  <c r="AA12" i="58"/>
  <c r="AB12" i="58" s="1"/>
  <c r="AC13" i="50"/>
  <c r="AA12" i="50"/>
  <c r="AB12" i="50" s="1"/>
  <c r="AC13" i="52"/>
  <c r="AA12" i="52"/>
  <c r="AB12" i="52" s="1"/>
  <c r="AC13" i="51"/>
  <c r="AA12" i="51"/>
  <c r="AB12" i="51" s="1"/>
  <c r="AC13" i="49"/>
  <c r="AA12" i="49"/>
  <c r="AB12" i="49" s="1"/>
  <c r="AC13" i="47"/>
  <c r="AA12" i="47"/>
  <c r="AB12" i="47" s="1"/>
  <c r="AC13" i="48"/>
  <c r="AA12" i="48"/>
  <c r="AB12" i="48" s="1"/>
  <c r="AC13" i="46"/>
  <c r="AA12" i="46"/>
  <c r="AB12" i="46" s="1"/>
  <c r="M9" i="1"/>
  <c r="AF15" i="1"/>
  <c r="AA6" i="1"/>
  <c r="AB6" i="1" s="1"/>
  <c r="AC14" i="64" l="1"/>
  <c r="AA13" i="64"/>
  <c r="AB13" i="64" s="1"/>
  <c r="AC14" i="65"/>
  <c r="AA13" i="65"/>
  <c r="AB13" i="65" s="1"/>
  <c r="AA13" i="61"/>
  <c r="AB13" i="61" s="1"/>
  <c r="AC14" i="61"/>
  <c r="AC14" i="62"/>
  <c r="AA13" i="62"/>
  <c r="AB13" i="62" s="1"/>
  <c r="AC14" i="63"/>
  <c r="AA13" i="63"/>
  <c r="AB13" i="63" s="1"/>
  <c r="AA13" i="58"/>
  <c r="AB13" i="58" s="1"/>
  <c r="AC14" i="58"/>
  <c r="AC14" i="60"/>
  <c r="AA13" i="60"/>
  <c r="AB13" i="60" s="1"/>
  <c r="AA13" i="57"/>
  <c r="AB13" i="57" s="1"/>
  <c r="AC14" i="57"/>
  <c r="AC14" i="59"/>
  <c r="AA13" i="59"/>
  <c r="AB13" i="59" s="1"/>
  <c r="AA13" i="54"/>
  <c r="AB13" i="54" s="1"/>
  <c r="AC14" i="54"/>
  <c r="AA13" i="55"/>
  <c r="AB13" i="55" s="1"/>
  <c r="AC14" i="55"/>
  <c r="AC14" i="53"/>
  <c r="AA13" i="53"/>
  <c r="AB13" i="53" s="1"/>
  <c r="AC14" i="56"/>
  <c r="AA13" i="56"/>
  <c r="AB13" i="56" s="1"/>
  <c r="AC14" i="49"/>
  <c r="AA13" i="49"/>
  <c r="AB13" i="49" s="1"/>
  <c r="AC14" i="52"/>
  <c r="AA13" i="52"/>
  <c r="AB13" i="52" s="1"/>
  <c r="AC14" i="51"/>
  <c r="AA13" i="51"/>
  <c r="AB13" i="51" s="1"/>
  <c r="AA13" i="50"/>
  <c r="AB13" i="50" s="1"/>
  <c r="AC14" i="50"/>
  <c r="AC14" i="48"/>
  <c r="AA13" i="48"/>
  <c r="AB13" i="48" s="1"/>
  <c r="AA13" i="47"/>
  <c r="AB13" i="47" s="1"/>
  <c r="AC14" i="47"/>
  <c r="AC14" i="46"/>
  <c r="AA13" i="46"/>
  <c r="AB13" i="46" s="1"/>
  <c r="AA7" i="1"/>
  <c r="AB7" i="1" s="1"/>
  <c r="M10" i="1"/>
  <c r="AC15" i="62" l="1"/>
  <c r="AA14" i="62"/>
  <c r="AB14" i="62" s="1"/>
  <c r="AC15" i="65"/>
  <c r="AA14" i="65"/>
  <c r="AB14" i="65" s="1"/>
  <c r="AA14" i="61"/>
  <c r="AB14" i="61" s="1"/>
  <c r="AC15" i="61"/>
  <c r="AC15" i="63"/>
  <c r="AA14" i="63"/>
  <c r="AB14" i="63" s="1"/>
  <c r="AC15" i="64"/>
  <c r="AA14" i="64"/>
  <c r="AB14" i="64" s="1"/>
  <c r="AC15" i="56"/>
  <c r="AA14" i="56"/>
  <c r="AB14" i="56" s="1"/>
  <c r="AC15" i="59"/>
  <c r="AA14" i="59"/>
  <c r="AB14" i="59" s="1"/>
  <c r="AC15" i="60"/>
  <c r="AA14" i="60"/>
  <c r="AB14" i="60" s="1"/>
  <c r="AA14" i="54"/>
  <c r="AB14" i="54" s="1"/>
  <c r="AC15" i="54"/>
  <c r="AC15" i="57"/>
  <c r="AA14" i="57"/>
  <c r="AB14" i="57" s="1"/>
  <c r="AA14" i="58"/>
  <c r="AB14" i="58" s="1"/>
  <c r="AC15" i="58"/>
  <c r="AC15" i="55"/>
  <c r="AA14" i="55"/>
  <c r="AB14" i="55" s="1"/>
  <c r="AC15" i="53"/>
  <c r="AA14" i="53"/>
  <c r="AB14" i="53" s="1"/>
  <c r="AC15" i="52"/>
  <c r="AA14" i="52"/>
  <c r="AB14" i="52" s="1"/>
  <c r="AA14" i="50"/>
  <c r="AB14" i="50" s="1"/>
  <c r="AC15" i="50"/>
  <c r="AA14" i="51"/>
  <c r="AB14" i="51" s="1"/>
  <c r="AC15" i="51"/>
  <c r="AC15" i="49"/>
  <c r="AA14" i="49"/>
  <c r="AB14" i="49" s="1"/>
  <c r="AA14" i="47"/>
  <c r="AB14" i="47" s="1"/>
  <c r="AC15" i="47"/>
  <c r="AC15" i="48"/>
  <c r="AA14" i="48"/>
  <c r="AB14" i="48" s="1"/>
  <c r="AC15" i="46"/>
  <c r="AA14" i="46"/>
  <c r="AB14" i="46" s="1"/>
  <c r="M11" i="1"/>
  <c r="AA8" i="1"/>
  <c r="AB8" i="1" s="1"/>
  <c r="Y6" i="63" l="1"/>
  <c r="AA15" i="63"/>
  <c r="AB15" i="63" s="1"/>
  <c r="Y6" i="65"/>
  <c r="AA15" i="65"/>
  <c r="AB15" i="65" s="1"/>
  <c r="AA15" i="61"/>
  <c r="AB15" i="61" s="1"/>
  <c r="Y6" i="61"/>
  <c r="AA15" i="64"/>
  <c r="AB15" i="64" s="1"/>
  <c r="Y6" i="64"/>
  <c r="AA15" i="62"/>
  <c r="AB15" i="62" s="1"/>
  <c r="Y6" i="62"/>
  <c r="AA15" i="53"/>
  <c r="AB15" i="53" s="1"/>
  <c r="Y6" i="53"/>
  <c r="AA15" i="59"/>
  <c r="AB15" i="59" s="1"/>
  <c r="Y6" i="59"/>
  <c r="AA15" i="58"/>
  <c r="AB15" i="58" s="1"/>
  <c r="Y6" i="58"/>
  <c r="Y6" i="54"/>
  <c r="AA15" i="54"/>
  <c r="AB15" i="54" s="1"/>
  <c r="AA15" i="55"/>
  <c r="AB15" i="55" s="1"/>
  <c r="Y6" i="55"/>
  <c r="AA15" i="57"/>
  <c r="AB15" i="57" s="1"/>
  <c r="Y6" i="57"/>
  <c r="Y6" i="60"/>
  <c r="AA15" i="60"/>
  <c r="AB15" i="60" s="1"/>
  <c r="AA15" i="56"/>
  <c r="AB15" i="56" s="1"/>
  <c r="Y6" i="56"/>
  <c r="AA15" i="49"/>
  <c r="AB15" i="49" s="1"/>
  <c r="Y6" i="49"/>
  <c r="AA15" i="51"/>
  <c r="AB15" i="51" s="1"/>
  <c r="Y6" i="51"/>
  <c r="Y6" i="50"/>
  <c r="AA15" i="50"/>
  <c r="AB15" i="50" s="1"/>
  <c r="Y6" i="52"/>
  <c r="AA15" i="52"/>
  <c r="AB15" i="52" s="1"/>
  <c r="AA15" i="48"/>
  <c r="AB15" i="48" s="1"/>
  <c r="Y6" i="48"/>
  <c r="AA15" i="47"/>
  <c r="AB15" i="47" s="1"/>
  <c r="Y6" i="47"/>
  <c r="Y6" i="46"/>
  <c r="AA15" i="46"/>
  <c r="AB15" i="46" s="1"/>
  <c r="AA9" i="1"/>
  <c r="AB9" i="1" s="1"/>
  <c r="M12" i="1"/>
  <c r="Y7" i="64" l="1"/>
  <c r="W6" i="64"/>
  <c r="X6" i="64" s="1"/>
  <c r="Y7" i="65"/>
  <c r="W6" i="65"/>
  <c r="X6" i="65" s="1"/>
  <c r="Y7" i="62"/>
  <c r="W6" i="62"/>
  <c r="X6" i="62" s="1"/>
  <c r="Y7" i="61"/>
  <c r="W6" i="61"/>
  <c r="X6" i="61" s="1"/>
  <c r="W6" i="63"/>
  <c r="X6" i="63" s="1"/>
  <c r="Y7" i="63"/>
  <c r="Y7" i="57"/>
  <c r="W6" i="57"/>
  <c r="X6" i="57" s="1"/>
  <c r="W6" i="54"/>
  <c r="X6" i="54" s="1"/>
  <c r="Y7" i="54"/>
  <c r="Y7" i="55"/>
  <c r="W6" i="55"/>
  <c r="X6" i="55" s="1"/>
  <c r="Y7" i="58"/>
  <c r="W6" i="58"/>
  <c r="X6" i="58" s="1"/>
  <c r="Y7" i="53"/>
  <c r="W6" i="53"/>
  <c r="X6" i="53" s="1"/>
  <c r="Y7" i="56"/>
  <c r="W6" i="56"/>
  <c r="X6" i="56" s="1"/>
  <c r="Y7" i="59"/>
  <c r="W6" i="59"/>
  <c r="X6" i="59" s="1"/>
  <c r="Y7" i="60"/>
  <c r="W6" i="60"/>
  <c r="X6" i="60" s="1"/>
  <c r="Y7" i="49"/>
  <c r="W6" i="49"/>
  <c r="X6" i="49" s="1"/>
  <c r="W6" i="51"/>
  <c r="X6" i="51" s="1"/>
  <c r="Y7" i="51"/>
  <c r="Y7" i="52"/>
  <c r="W6" i="52"/>
  <c r="X6" i="52" s="1"/>
  <c r="W6" i="50"/>
  <c r="X6" i="50" s="1"/>
  <c r="Y7" i="50"/>
  <c r="Y7" i="48"/>
  <c r="W6" i="48"/>
  <c r="X6" i="48" s="1"/>
  <c r="Y7" i="47"/>
  <c r="W6" i="47"/>
  <c r="X6" i="47" s="1"/>
  <c r="W6" i="46"/>
  <c r="X6" i="46" s="1"/>
  <c r="Y7" i="46"/>
  <c r="M13" i="1"/>
  <c r="AA10" i="1"/>
  <c r="AB10" i="1" s="1"/>
  <c r="W7" i="61" l="1"/>
  <c r="X7" i="61" s="1"/>
  <c r="Y8" i="61"/>
  <c r="W7" i="65"/>
  <c r="X7" i="65" s="1"/>
  <c r="Y8" i="65"/>
  <c r="W7" i="63"/>
  <c r="X7" i="63" s="1"/>
  <c r="Y8" i="63"/>
  <c r="Y8" i="62"/>
  <c r="W7" i="62"/>
  <c r="X7" i="62" s="1"/>
  <c r="Y8" i="64"/>
  <c r="W7" i="64"/>
  <c r="X7" i="64" s="1"/>
  <c r="W7" i="54"/>
  <c r="X7" i="54" s="1"/>
  <c r="Y8" i="54"/>
  <c r="W7" i="60"/>
  <c r="X7" i="60" s="1"/>
  <c r="Y8" i="60"/>
  <c r="Y8" i="56"/>
  <c r="W7" i="56"/>
  <c r="X7" i="56" s="1"/>
  <c r="Y8" i="58"/>
  <c r="W7" i="58"/>
  <c r="X7" i="58" s="1"/>
  <c r="Y8" i="59"/>
  <c r="W7" i="59"/>
  <c r="X7" i="59" s="1"/>
  <c r="W7" i="53"/>
  <c r="X7" i="53" s="1"/>
  <c r="Y8" i="53"/>
  <c r="Y8" i="55"/>
  <c r="W7" i="55"/>
  <c r="X7" i="55" s="1"/>
  <c r="W7" i="57"/>
  <c r="X7" i="57" s="1"/>
  <c r="Y8" i="57"/>
  <c r="W7" i="50"/>
  <c r="X7" i="50" s="1"/>
  <c r="Y8" i="50"/>
  <c r="Y8" i="51"/>
  <c r="W7" i="51"/>
  <c r="X7" i="51" s="1"/>
  <c r="W7" i="52"/>
  <c r="X7" i="52" s="1"/>
  <c r="Y8" i="52"/>
  <c r="W7" i="49"/>
  <c r="X7" i="49" s="1"/>
  <c r="Y8" i="49"/>
  <c r="Y8" i="47"/>
  <c r="W7" i="47"/>
  <c r="X7" i="47" s="1"/>
  <c r="Y8" i="48"/>
  <c r="W7" i="48"/>
  <c r="X7" i="48" s="1"/>
  <c r="Y8" i="46"/>
  <c r="W7" i="46"/>
  <c r="X7" i="46" s="1"/>
  <c r="AA11" i="1"/>
  <c r="AB11" i="1" s="1"/>
  <c r="M14" i="1"/>
  <c r="W8" i="65" l="1"/>
  <c r="X8" i="65" s="1"/>
  <c r="Y9" i="65"/>
  <c r="Y9" i="62"/>
  <c r="W8" i="62"/>
  <c r="X8" i="62" s="1"/>
  <c r="W8" i="63"/>
  <c r="X8" i="63" s="1"/>
  <c r="Y9" i="63"/>
  <c r="Y9" i="61"/>
  <c r="W8" i="61"/>
  <c r="X8" i="61" s="1"/>
  <c r="Y9" i="64"/>
  <c r="W8" i="64"/>
  <c r="X8" i="64" s="1"/>
  <c r="Y9" i="58"/>
  <c r="W8" i="58"/>
  <c r="X8" i="58" s="1"/>
  <c r="W8" i="57"/>
  <c r="X8" i="57" s="1"/>
  <c r="Y9" i="57"/>
  <c r="W8" i="53"/>
  <c r="X8" i="53" s="1"/>
  <c r="Y9" i="53"/>
  <c r="W8" i="60"/>
  <c r="X8" i="60" s="1"/>
  <c r="Y9" i="60"/>
  <c r="W8" i="54"/>
  <c r="X8" i="54" s="1"/>
  <c r="Y9" i="54"/>
  <c r="Y9" i="55"/>
  <c r="W8" i="55"/>
  <c r="X8" i="55" s="1"/>
  <c r="W8" i="59"/>
  <c r="X8" i="59" s="1"/>
  <c r="Y9" i="59"/>
  <c r="Y9" i="56"/>
  <c r="W8" i="56"/>
  <c r="X8" i="56" s="1"/>
  <c r="Y9" i="51"/>
  <c r="W8" i="51"/>
  <c r="X8" i="51" s="1"/>
  <c r="W8" i="52"/>
  <c r="X8" i="52" s="1"/>
  <c r="Y9" i="52"/>
  <c r="W8" i="50"/>
  <c r="X8" i="50" s="1"/>
  <c r="Y9" i="50"/>
  <c r="W8" i="49"/>
  <c r="X8" i="49" s="1"/>
  <c r="Y9" i="49"/>
  <c r="W8" i="48"/>
  <c r="X8" i="48" s="1"/>
  <c r="Y9" i="48"/>
  <c r="Y9" i="47"/>
  <c r="W8" i="47"/>
  <c r="X8" i="47" s="1"/>
  <c r="W8" i="46"/>
  <c r="X8" i="46" s="1"/>
  <c r="Y9" i="46"/>
  <c r="M15" i="1"/>
  <c r="AA12" i="1"/>
  <c r="AB12" i="1" s="1"/>
  <c r="Y10" i="61" l="1"/>
  <c r="W9" i="61"/>
  <c r="X9" i="61" s="1"/>
  <c r="Y10" i="62"/>
  <c r="W9" i="62"/>
  <c r="X9" i="62" s="1"/>
  <c r="Y10" i="63"/>
  <c r="W9" i="63"/>
  <c r="X9" i="63" s="1"/>
  <c r="W9" i="65"/>
  <c r="X9" i="65" s="1"/>
  <c r="Y10" i="65"/>
  <c r="Y10" i="64"/>
  <c r="W9" i="64"/>
  <c r="X9" i="64" s="1"/>
  <c r="W9" i="57"/>
  <c r="X9" i="57" s="1"/>
  <c r="Y10" i="57"/>
  <c r="Y10" i="56"/>
  <c r="W9" i="56"/>
  <c r="X9" i="56" s="1"/>
  <c r="Y10" i="55"/>
  <c r="W9" i="55"/>
  <c r="X9" i="55" s="1"/>
  <c r="W9" i="60"/>
  <c r="X9" i="60" s="1"/>
  <c r="Y10" i="60"/>
  <c r="W9" i="59"/>
  <c r="X9" i="59" s="1"/>
  <c r="Y10" i="59"/>
  <c r="W9" i="54"/>
  <c r="X9" i="54" s="1"/>
  <c r="Y10" i="54"/>
  <c r="W9" i="53"/>
  <c r="X9" i="53" s="1"/>
  <c r="Y10" i="53"/>
  <c r="Y10" i="58"/>
  <c r="W9" i="58"/>
  <c r="X9" i="58" s="1"/>
  <c r="W9" i="49"/>
  <c r="X9" i="49" s="1"/>
  <c r="Y10" i="49"/>
  <c r="W9" i="50"/>
  <c r="X9" i="50" s="1"/>
  <c r="Y10" i="50"/>
  <c r="W9" i="52"/>
  <c r="X9" i="52" s="1"/>
  <c r="Y10" i="52"/>
  <c r="Y10" i="51"/>
  <c r="W9" i="51"/>
  <c r="X9" i="51" s="1"/>
  <c r="Y10" i="47"/>
  <c r="W9" i="47"/>
  <c r="X9" i="47" s="1"/>
  <c r="W9" i="48"/>
  <c r="X9" i="48" s="1"/>
  <c r="Y10" i="48"/>
  <c r="W9" i="46"/>
  <c r="X9" i="46" s="1"/>
  <c r="Y10" i="46"/>
  <c r="AA13" i="1"/>
  <c r="AB13" i="1" s="1"/>
  <c r="I6" i="1"/>
  <c r="W10" i="65" l="1"/>
  <c r="X10" i="65" s="1"/>
  <c r="Y11" i="65"/>
  <c r="W10" i="62"/>
  <c r="X10" i="62" s="1"/>
  <c r="Y11" i="62"/>
  <c r="Y11" i="64"/>
  <c r="W10" i="64"/>
  <c r="X10" i="64" s="1"/>
  <c r="W10" i="63"/>
  <c r="X10" i="63" s="1"/>
  <c r="Y11" i="63"/>
  <c r="Y11" i="61"/>
  <c r="W10" i="61"/>
  <c r="X10" i="61" s="1"/>
  <c r="Y11" i="58"/>
  <c r="W10" i="58"/>
  <c r="X10" i="58" s="1"/>
  <c r="Y11" i="56"/>
  <c r="W10" i="56"/>
  <c r="X10" i="56" s="1"/>
  <c r="W10" i="54"/>
  <c r="X10" i="54" s="1"/>
  <c r="Y11" i="54"/>
  <c r="W10" i="60"/>
  <c r="X10" i="60" s="1"/>
  <c r="Y11" i="60"/>
  <c r="Y11" i="53"/>
  <c r="W10" i="53"/>
  <c r="X10" i="53" s="1"/>
  <c r="W10" i="59"/>
  <c r="X10" i="59" s="1"/>
  <c r="Y11" i="59"/>
  <c r="Y11" i="57"/>
  <c r="W10" i="57"/>
  <c r="X10" i="57" s="1"/>
  <c r="Y11" i="55"/>
  <c r="W10" i="55"/>
  <c r="X10" i="55" s="1"/>
  <c r="W10" i="50"/>
  <c r="X10" i="50" s="1"/>
  <c r="Y11" i="50"/>
  <c r="W10" i="51"/>
  <c r="X10" i="51" s="1"/>
  <c r="Y11" i="51"/>
  <c r="W10" i="52"/>
  <c r="X10" i="52" s="1"/>
  <c r="Y11" i="52"/>
  <c r="W10" i="49"/>
  <c r="X10" i="49" s="1"/>
  <c r="Y11" i="49"/>
  <c r="W10" i="48"/>
  <c r="X10" i="48" s="1"/>
  <c r="Y11" i="48"/>
  <c r="Y11" i="47"/>
  <c r="W10" i="47"/>
  <c r="X10" i="47" s="1"/>
  <c r="W10" i="46"/>
  <c r="X10" i="46" s="1"/>
  <c r="Y11" i="46"/>
  <c r="I7" i="1"/>
  <c r="AA14" i="1"/>
  <c r="AB14" i="1" s="1"/>
  <c r="W11" i="63" l="1"/>
  <c r="X11" i="63" s="1"/>
  <c r="Y12" i="63"/>
  <c r="W11" i="62"/>
  <c r="X11" i="62" s="1"/>
  <c r="Y12" i="62"/>
  <c r="W11" i="65"/>
  <c r="X11" i="65" s="1"/>
  <c r="Y12" i="65"/>
  <c r="Y12" i="61"/>
  <c r="W11" i="61"/>
  <c r="X11" i="61" s="1"/>
  <c r="W11" i="64"/>
  <c r="X11" i="64" s="1"/>
  <c r="Y12" i="64"/>
  <c r="W11" i="60"/>
  <c r="X11" i="60" s="1"/>
  <c r="Y12" i="60"/>
  <c r="Y12" i="55"/>
  <c r="W11" i="55"/>
  <c r="X11" i="55" s="1"/>
  <c r="W11" i="56"/>
  <c r="X11" i="56" s="1"/>
  <c r="Y12" i="56"/>
  <c r="Y12" i="54"/>
  <c r="W11" i="54"/>
  <c r="X11" i="54" s="1"/>
  <c r="Y12" i="59"/>
  <c r="W11" i="59"/>
  <c r="X11" i="59" s="1"/>
  <c r="Y12" i="57"/>
  <c r="W11" i="57"/>
  <c r="X11" i="57" s="1"/>
  <c r="W11" i="53"/>
  <c r="X11" i="53" s="1"/>
  <c r="Y12" i="53"/>
  <c r="Y12" i="58"/>
  <c r="W11" i="58"/>
  <c r="X11" i="58" s="1"/>
  <c r="W11" i="49"/>
  <c r="X11" i="49" s="1"/>
  <c r="Y12" i="49"/>
  <c r="W11" i="52"/>
  <c r="X11" i="52" s="1"/>
  <c r="Y12" i="52"/>
  <c r="Y12" i="50"/>
  <c r="W11" i="50"/>
  <c r="X11" i="50" s="1"/>
  <c r="W11" i="51"/>
  <c r="X11" i="51" s="1"/>
  <c r="Y12" i="51"/>
  <c r="Y12" i="47"/>
  <c r="W11" i="47"/>
  <c r="X11" i="47" s="1"/>
  <c r="W11" i="48"/>
  <c r="X11" i="48" s="1"/>
  <c r="Y12" i="48"/>
  <c r="W11" i="46"/>
  <c r="X11" i="46" s="1"/>
  <c r="Y12" i="46"/>
  <c r="AA15" i="1"/>
  <c r="AB15" i="1" s="1"/>
  <c r="I8" i="1"/>
  <c r="Y13" i="61" l="1"/>
  <c r="W12" i="61"/>
  <c r="X12" i="61" s="1"/>
  <c r="Y13" i="62"/>
  <c r="W12" i="62"/>
  <c r="X12" i="62" s="1"/>
  <c r="Y13" i="64"/>
  <c r="W12" i="64"/>
  <c r="X12" i="64" s="1"/>
  <c r="Y13" i="65"/>
  <c r="W12" i="65"/>
  <c r="X12" i="65" s="1"/>
  <c r="Y13" i="63"/>
  <c r="W12" i="63"/>
  <c r="X12" i="63" s="1"/>
  <c r="Y13" i="58"/>
  <c r="W12" i="58"/>
  <c r="X12" i="58" s="1"/>
  <c r="Y13" i="57"/>
  <c r="W12" i="57"/>
  <c r="X12" i="57" s="1"/>
  <c r="W12" i="54"/>
  <c r="X12" i="54" s="1"/>
  <c r="Y13" i="54"/>
  <c r="Y13" i="55"/>
  <c r="W12" i="55"/>
  <c r="X12" i="55" s="1"/>
  <c r="Y13" i="53"/>
  <c r="W12" i="53"/>
  <c r="X12" i="53" s="1"/>
  <c r="Y13" i="56"/>
  <c r="W12" i="56"/>
  <c r="X12" i="56" s="1"/>
  <c r="Y13" i="60"/>
  <c r="W12" i="60"/>
  <c r="X12" i="60" s="1"/>
  <c r="Y13" i="59"/>
  <c r="W12" i="59"/>
  <c r="X12" i="59" s="1"/>
  <c r="Y13" i="51"/>
  <c r="W12" i="51"/>
  <c r="X12" i="51" s="1"/>
  <c r="Y13" i="52"/>
  <c r="W12" i="52"/>
  <c r="X12" i="52" s="1"/>
  <c r="Y13" i="49"/>
  <c r="W12" i="49"/>
  <c r="X12" i="49" s="1"/>
  <c r="Y13" i="50"/>
  <c r="W12" i="50"/>
  <c r="X12" i="50" s="1"/>
  <c r="Y13" i="48"/>
  <c r="W12" i="48"/>
  <c r="X12" i="48" s="1"/>
  <c r="Y13" i="47"/>
  <c r="W12" i="47"/>
  <c r="X12" i="47" s="1"/>
  <c r="Y13" i="46"/>
  <c r="W12" i="46"/>
  <c r="X12" i="46" s="1"/>
  <c r="I9" i="1"/>
  <c r="W6" i="1"/>
  <c r="X6" i="1" s="1"/>
  <c r="Y14" i="65" l="1"/>
  <c r="W13" i="65"/>
  <c r="X13" i="65" s="1"/>
  <c r="Y14" i="62"/>
  <c r="W13" i="62"/>
  <c r="X13" i="62" s="1"/>
  <c r="Y14" i="63"/>
  <c r="W13" i="63"/>
  <c r="X13" i="63" s="1"/>
  <c r="W13" i="64"/>
  <c r="X13" i="64" s="1"/>
  <c r="Y14" i="64"/>
  <c r="W13" i="61"/>
  <c r="X13" i="61" s="1"/>
  <c r="Y14" i="61"/>
  <c r="Y14" i="59"/>
  <c r="W13" i="59"/>
  <c r="X13" i="59" s="1"/>
  <c r="Y14" i="56"/>
  <c r="W13" i="56"/>
  <c r="X13" i="56" s="1"/>
  <c r="W13" i="55"/>
  <c r="X13" i="55" s="1"/>
  <c r="Y14" i="55"/>
  <c r="Y14" i="57"/>
  <c r="W13" i="57"/>
  <c r="X13" i="57" s="1"/>
  <c r="W13" i="54"/>
  <c r="X13" i="54" s="1"/>
  <c r="Y14" i="54"/>
  <c r="Y14" i="60"/>
  <c r="W13" i="60"/>
  <c r="X13" i="60" s="1"/>
  <c r="Y14" i="53"/>
  <c r="W13" i="53"/>
  <c r="X13" i="53" s="1"/>
  <c r="W13" i="58"/>
  <c r="X13" i="58" s="1"/>
  <c r="Y14" i="58"/>
  <c r="W13" i="50"/>
  <c r="X13" i="50" s="1"/>
  <c r="Y14" i="50"/>
  <c r="Y14" i="52"/>
  <c r="W13" i="52"/>
  <c r="X13" i="52" s="1"/>
  <c r="Y14" i="49"/>
  <c r="W13" i="49"/>
  <c r="X13" i="49" s="1"/>
  <c r="Y14" i="51"/>
  <c r="W13" i="51"/>
  <c r="X13" i="51" s="1"/>
  <c r="Y14" i="47"/>
  <c r="W13" i="47"/>
  <c r="X13" i="47" s="1"/>
  <c r="Y14" i="48"/>
  <c r="W13" i="48"/>
  <c r="X13" i="48" s="1"/>
  <c r="Y14" i="46"/>
  <c r="W13" i="46"/>
  <c r="X13" i="46" s="1"/>
  <c r="W7" i="1"/>
  <c r="X7" i="1" s="1"/>
  <c r="I10" i="1"/>
  <c r="Y15" i="64" l="1"/>
  <c r="W14" i="64"/>
  <c r="X14" i="64" s="1"/>
  <c r="Y15" i="62"/>
  <c r="W14" i="62"/>
  <c r="X14" i="62" s="1"/>
  <c r="W14" i="61"/>
  <c r="X14" i="61" s="1"/>
  <c r="Y15" i="61"/>
  <c r="Y15" i="63"/>
  <c r="W14" i="63"/>
  <c r="X14" i="63" s="1"/>
  <c r="Y15" i="65"/>
  <c r="W14" i="65"/>
  <c r="X14" i="65" s="1"/>
  <c r="Y15" i="60"/>
  <c r="W14" i="60"/>
  <c r="X14" i="60" s="1"/>
  <c r="W14" i="57"/>
  <c r="X14" i="57" s="1"/>
  <c r="Y15" i="57"/>
  <c r="Y15" i="56"/>
  <c r="W14" i="56"/>
  <c r="X14" i="56" s="1"/>
  <c r="W14" i="58"/>
  <c r="X14" i="58" s="1"/>
  <c r="Y15" i="58"/>
  <c r="W14" i="54"/>
  <c r="X14" i="54" s="1"/>
  <c r="Y15" i="54"/>
  <c r="W14" i="55"/>
  <c r="X14" i="55" s="1"/>
  <c r="Y15" i="55"/>
  <c r="Y15" i="53"/>
  <c r="W14" i="53"/>
  <c r="X14" i="53" s="1"/>
  <c r="Y15" i="59"/>
  <c r="W14" i="59"/>
  <c r="X14" i="59" s="1"/>
  <c r="Y15" i="52"/>
  <c r="W14" i="52"/>
  <c r="X14" i="52" s="1"/>
  <c r="W14" i="50"/>
  <c r="X14" i="50" s="1"/>
  <c r="Y15" i="50"/>
  <c r="W14" i="51"/>
  <c r="X14" i="51" s="1"/>
  <c r="Y15" i="51"/>
  <c r="Y15" i="49"/>
  <c r="W14" i="49"/>
  <c r="X14" i="49" s="1"/>
  <c r="Y15" i="48"/>
  <c r="W14" i="48"/>
  <c r="X14" i="48" s="1"/>
  <c r="Y15" i="47"/>
  <c r="W14" i="47"/>
  <c r="X14" i="47" s="1"/>
  <c r="Y15" i="46"/>
  <c r="W14" i="46"/>
  <c r="X14" i="46" s="1"/>
  <c r="I11" i="1"/>
  <c r="W8" i="1"/>
  <c r="X8" i="1" s="1"/>
  <c r="U6" i="63" l="1"/>
  <c r="W15" i="63"/>
  <c r="X15" i="63" s="1"/>
  <c r="W15" i="62"/>
  <c r="X15" i="62" s="1"/>
  <c r="U6" i="62"/>
  <c r="W15" i="61"/>
  <c r="X15" i="61" s="1"/>
  <c r="U6" i="61"/>
  <c r="U6" i="65"/>
  <c r="W15" i="65"/>
  <c r="X15" i="65" s="1"/>
  <c r="W15" i="64"/>
  <c r="X15" i="64" s="1"/>
  <c r="U6" i="64"/>
  <c r="W15" i="58"/>
  <c r="X15" i="58" s="1"/>
  <c r="U6" i="58"/>
  <c r="W15" i="59"/>
  <c r="X15" i="59" s="1"/>
  <c r="U6" i="59"/>
  <c r="U6" i="54"/>
  <c r="W15" i="54"/>
  <c r="X15" i="54" s="1"/>
  <c r="W15" i="55"/>
  <c r="X15" i="55" s="1"/>
  <c r="U6" i="55"/>
  <c r="W15" i="57"/>
  <c r="X15" i="57" s="1"/>
  <c r="U6" i="57"/>
  <c r="U6" i="53"/>
  <c r="W15" i="53"/>
  <c r="X15" i="53" s="1"/>
  <c r="W15" i="56"/>
  <c r="X15" i="56" s="1"/>
  <c r="U6" i="56"/>
  <c r="W15" i="60"/>
  <c r="X15" i="60" s="1"/>
  <c r="U6" i="60"/>
  <c r="U6" i="50"/>
  <c r="W15" i="50"/>
  <c r="X15" i="50" s="1"/>
  <c r="W15" i="51"/>
  <c r="X15" i="51" s="1"/>
  <c r="U6" i="51"/>
  <c r="U6" i="49"/>
  <c r="W15" i="49"/>
  <c r="X15" i="49" s="1"/>
  <c r="W15" i="52"/>
  <c r="X15" i="52" s="1"/>
  <c r="U6" i="52"/>
  <c r="W15" i="47"/>
  <c r="X15" i="47" s="1"/>
  <c r="U6" i="47"/>
  <c r="W15" i="48"/>
  <c r="X15" i="48" s="1"/>
  <c r="U6" i="48"/>
  <c r="W15" i="46"/>
  <c r="X15" i="46" s="1"/>
  <c r="U6" i="46"/>
  <c r="W9" i="1"/>
  <c r="X9" i="1" s="1"/>
  <c r="I12" i="1"/>
  <c r="U7" i="62" l="1"/>
  <c r="S6" i="62"/>
  <c r="T6" i="62" s="1"/>
  <c r="U7" i="65"/>
  <c r="S6" i="65"/>
  <c r="T6" i="65" s="1"/>
  <c r="U7" i="64"/>
  <c r="S6" i="64"/>
  <c r="T6" i="64" s="1"/>
  <c r="U7" i="61"/>
  <c r="S6" i="61"/>
  <c r="T6" i="61" s="1"/>
  <c r="U7" i="63"/>
  <c r="S6" i="63"/>
  <c r="T6" i="63" s="1"/>
  <c r="S6" i="60"/>
  <c r="T6" i="60" s="1"/>
  <c r="U7" i="60"/>
  <c r="U7" i="55"/>
  <c r="S6" i="55"/>
  <c r="T6" i="55" s="1"/>
  <c r="U7" i="53"/>
  <c r="S6" i="53"/>
  <c r="T6" i="53" s="1"/>
  <c r="U7" i="59"/>
  <c r="S6" i="59"/>
  <c r="T6" i="59" s="1"/>
  <c r="U7" i="56"/>
  <c r="S6" i="56"/>
  <c r="T6" i="56" s="1"/>
  <c r="U7" i="57"/>
  <c r="S6" i="57"/>
  <c r="T6" i="57" s="1"/>
  <c r="U7" i="58"/>
  <c r="S6" i="58"/>
  <c r="T6" i="58" s="1"/>
  <c r="U7" i="54"/>
  <c r="S6" i="54"/>
  <c r="T6" i="54" s="1"/>
  <c r="U7" i="51"/>
  <c r="S6" i="51"/>
  <c r="T6" i="51" s="1"/>
  <c r="U7" i="52"/>
  <c r="S6" i="52"/>
  <c r="T6" i="52" s="1"/>
  <c r="S6" i="49"/>
  <c r="T6" i="49" s="1"/>
  <c r="U7" i="49"/>
  <c r="U7" i="50"/>
  <c r="S6" i="50"/>
  <c r="T6" i="50" s="1"/>
  <c r="U7" i="48"/>
  <c r="S6" i="48"/>
  <c r="T6" i="48" s="1"/>
  <c r="U7" i="47"/>
  <c r="S6" i="47"/>
  <c r="T6" i="47" s="1"/>
  <c r="U7" i="46"/>
  <c r="S6" i="46"/>
  <c r="T6" i="46" s="1"/>
  <c r="I13" i="1"/>
  <c r="W10" i="1"/>
  <c r="X10" i="1" s="1"/>
  <c r="U8" i="61" l="1"/>
  <c r="S7" i="61"/>
  <c r="T7" i="61" s="1"/>
  <c r="U8" i="65"/>
  <c r="S7" i="65"/>
  <c r="T7" i="65" s="1"/>
  <c r="S7" i="63"/>
  <c r="T7" i="63" s="1"/>
  <c r="U8" i="63"/>
  <c r="U8" i="64"/>
  <c r="S7" i="64"/>
  <c r="T7" i="64" s="1"/>
  <c r="U8" i="62"/>
  <c r="S7" i="62"/>
  <c r="T7" i="62" s="1"/>
  <c r="S7" i="54"/>
  <c r="T7" i="54" s="1"/>
  <c r="U8" i="54"/>
  <c r="S7" i="57"/>
  <c r="T7" i="57" s="1"/>
  <c r="U8" i="57"/>
  <c r="U8" i="59"/>
  <c r="S7" i="59"/>
  <c r="T7" i="59" s="1"/>
  <c r="U8" i="55"/>
  <c r="S7" i="55"/>
  <c r="T7" i="55" s="1"/>
  <c r="U8" i="60"/>
  <c r="S7" i="60"/>
  <c r="T7" i="60" s="1"/>
  <c r="U8" i="58"/>
  <c r="S7" i="58"/>
  <c r="T7" i="58" s="1"/>
  <c r="U8" i="56"/>
  <c r="S7" i="56"/>
  <c r="T7" i="56" s="1"/>
  <c r="S7" i="53"/>
  <c r="T7" i="53" s="1"/>
  <c r="U8" i="53"/>
  <c r="U8" i="52"/>
  <c r="S7" i="52"/>
  <c r="T7" i="52" s="1"/>
  <c r="S7" i="49"/>
  <c r="T7" i="49" s="1"/>
  <c r="U8" i="49"/>
  <c r="S7" i="50"/>
  <c r="T7" i="50" s="1"/>
  <c r="U8" i="50"/>
  <c r="U8" i="51"/>
  <c r="S7" i="51"/>
  <c r="T7" i="51" s="1"/>
  <c r="U8" i="47"/>
  <c r="S7" i="47"/>
  <c r="T7" i="47" s="1"/>
  <c r="U8" i="48"/>
  <c r="S7" i="48"/>
  <c r="T7" i="48" s="1"/>
  <c r="U8" i="46"/>
  <c r="S7" i="46"/>
  <c r="T7" i="46" s="1"/>
  <c r="W11" i="1"/>
  <c r="X11" i="1" s="1"/>
  <c r="I14" i="1"/>
  <c r="U9" i="64" l="1"/>
  <c r="S8" i="64"/>
  <c r="T8" i="64" s="1"/>
  <c r="U9" i="65"/>
  <c r="S8" i="65"/>
  <c r="T8" i="65" s="1"/>
  <c r="S8" i="63"/>
  <c r="T8" i="63" s="1"/>
  <c r="U9" i="63"/>
  <c r="U9" i="62"/>
  <c r="S8" i="62"/>
  <c r="T8" i="62" s="1"/>
  <c r="U9" i="61"/>
  <c r="S8" i="61"/>
  <c r="T8" i="61" s="1"/>
  <c r="U9" i="58"/>
  <c r="S8" i="58"/>
  <c r="T8" i="58" s="1"/>
  <c r="U9" i="55"/>
  <c r="S8" i="55"/>
  <c r="T8" i="55" s="1"/>
  <c r="S8" i="54"/>
  <c r="T8" i="54" s="1"/>
  <c r="U9" i="54"/>
  <c r="S8" i="53"/>
  <c r="T8" i="53" s="1"/>
  <c r="U9" i="53"/>
  <c r="S8" i="57"/>
  <c r="T8" i="57" s="1"/>
  <c r="U9" i="57"/>
  <c r="U9" i="56"/>
  <c r="S8" i="56"/>
  <c r="T8" i="56" s="1"/>
  <c r="S8" i="60"/>
  <c r="T8" i="60" s="1"/>
  <c r="U9" i="60"/>
  <c r="S8" i="59"/>
  <c r="T8" i="59" s="1"/>
  <c r="U9" i="59"/>
  <c r="S8" i="49"/>
  <c r="T8" i="49" s="1"/>
  <c r="U9" i="49"/>
  <c r="S8" i="50"/>
  <c r="T8" i="50" s="1"/>
  <c r="U9" i="50"/>
  <c r="U9" i="51"/>
  <c r="S8" i="51"/>
  <c r="T8" i="51" s="1"/>
  <c r="S8" i="52"/>
  <c r="T8" i="52" s="1"/>
  <c r="U9" i="52"/>
  <c r="S8" i="48"/>
  <c r="T8" i="48" s="1"/>
  <c r="U9" i="48"/>
  <c r="U9" i="47"/>
  <c r="S8" i="47"/>
  <c r="T8" i="47" s="1"/>
  <c r="S8" i="46"/>
  <c r="T8" i="46" s="1"/>
  <c r="U9" i="46"/>
  <c r="I15" i="1"/>
  <c r="W12" i="1"/>
  <c r="X12" i="1" s="1"/>
  <c r="U10" i="62" l="1"/>
  <c r="S9" i="62"/>
  <c r="T9" i="62" s="1"/>
  <c r="S9" i="65"/>
  <c r="T9" i="65" s="1"/>
  <c r="U10" i="65"/>
  <c r="U10" i="63"/>
  <c r="S9" i="63"/>
  <c r="T9" i="63" s="1"/>
  <c r="S9" i="61"/>
  <c r="T9" i="61" s="1"/>
  <c r="U10" i="61"/>
  <c r="U10" i="64"/>
  <c r="S9" i="64"/>
  <c r="T9" i="64" s="1"/>
  <c r="S9" i="53"/>
  <c r="T9" i="53" s="1"/>
  <c r="U10" i="53"/>
  <c r="U10" i="56"/>
  <c r="S9" i="56"/>
  <c r="T9" i="56" s="1"/>
  <c r="U10" i="55"/>
  <c r="S9" i="55"/>
  <c r="T9" i="55" s="1"/>
  <c r="S9" i="59"/>
  <c r="T9" i="59" s="1"/>
  <c r="U10" i="59"/>
  <c r="S9" i="60"/>
  <c r="T9" i="60" s="1"/>
  <c r="U10" i="60"/>
  <c r="S9" i="57"/>
  <c r="T9" i="57" s="1"/>
  <c r="U10" i="57"/>
  <c r="S9" i="54"/>
  <c r="T9" i="54" s="1"/>
  <c r="U10" i="54"/>
  <c r="U10" i="58"/>
  <c r="S9" i="58"/>
  <c r="T9" i="58" s="1"/>
  <c r="S9" i="52"/>
  <c r="T9" i="52" s="1"/>
  <c r="U10" i="52"/>
  <c r="S9" i="49"/>
  <c r="T9" i="49" s="1"/>
  <c r="U10" i="49"/>
  <c r="S9" i="50"/>
  <c r="T9" i="50" s="1"/>
  <c r="U10" i="50"/>
  <c r="U10" i="51"/>
  <c r="S9" i="51"/>
  <c r="T9" i="51" s="1"/>
  <c r="U10" i="47"/>
  <c r="S9" i="47"/>
  <c r="T9" i="47" s="1"/>
  <c r="S9" i="48"/>
  <c r="T9" i="48" s="1"/>
  <c r="U10" i="48"/>
  <c r="S9" i="46"/>
  <c r="T9" i="46" s="1"/>
  <c r="U10" i="46"/>
  <c r="W13" i="1"/>
  <c r="X13" i="1" s="1"/>
  <c r="U11" i="61" l="1"/>
  <c r="S10" i="61"/>
  <c r="T10" i="61" s="1"/>
  <c r="S10" i="65"/>
  <c r="T10" i="65" s="1"/>
  <c r="U11" i="65"/>
  <c r="U11" i="64"/>
  <c r="S10" i="64"/>
  <c r="T10" i="64" s="1"/>
  <c r="S10" i="63"/>
  <c r="T10" i="63" s="1"/>
  <c r="U11" i="63"/>
  <c r="S10" i="62"/>
  <c r="T10" i="62" s="1"/>
  <c r="U11" i="62"/>
  <c r="S10" i="57"/>
  <c r="T10" i="57" s="1"/>
  <c r="U11" i="57"/>
  <c r="S10" i="59"/>
  <c r="T10" i="59" s="1"/>
  <c r="U11" i="59"/>
  <c r="U11" i="58"/>
  <c r="S10" i="58"/>
  <c r="T10" i="58" s="1"/>
  <c r="U11" i="56"/>
  <c r="S10" i="56"/>
  <c r="T10" i="56" s="1"/>
  <c r="S10" i="54"/>
  <c r="T10" i="54" s="1"/>
  <c r="U11" i="54"/>
  <c r="S10" i="60"/>
  <c r="T10" i="60" s="1"/>
  <c r="U11" i="60"/>
  <c r="S10" i="53"/>
  <c r="T10" i="53" s="1"/>
  <c r="U11" i="53"/>
  <c r="U11" i="55"/>
  <c r="S10" i="55"/>
  <c r="T10" i="55" s="1"/>
  <c r="S10" i="49"/>
  <c r="T10" i="49" s="1"/>
  <c r="U11" i="49"/>
  <c r="S10" i="51"/>
  <c r="T10" i="51" s="1"/>
  <c r="U11" i="51"/>
  <c r="S10" i="50"/>
  <c r="T10" i="50" s="1"/>
  <c r="U11" i="50"/>
  <c r="S10" i="52"/>
  <c r="T10" i="52" s="1"/>
  <c r="U11" i="52"/>
  <c r="S10" i="48"/>
  <c r="T10" i="48" s="1"/>
  <c r="U11" i="48"/>
  <c r="U11" i="47"/>
  <c r="S10" i="47"/>
  <c r="T10" i="47" s="1"/>
  <c r="S10" i="46"/>
  <c r="T10" i="46" s="1"/>
  <c r="U11" i="46"/>
  <c r="W14" i="1"/>
  <c r="X14" i="1" s="1"/>
  <c r="S11" i="62" l="1"/>
  <c r="T11" i="62" s="1"/>
  <c r="U12" i="62"/>
  <c r="S11" i="63"/>
  <c r="T11" i="63" s="1"/>
  <c r="U12" i="63"/>
  <c r="S11" i="65"/>
  <c r="T11" i="65" s="1"/>
  <c r="U12" i="65"/>
  <c r="S11" i="64"/>
  <c r="T11" i="64" s="1"/>
  <c r="U12" i="64"/>
  <c r="U12" i="61"/>
  <c r="S11" i="61"/>
  <c r="T11" i="61" s="1"/>
  <c r="S11" i="60"/>
  <c r="T11" i="60" s="1"/>
  <c r="U12" i="60"/>
  <c r="U12" i="55"/>
  <c r="S11" i="55"/>
  <c r="T11" i="55" s="1"/>
  <c r="S11" i="56"/>
  <c r="T11" i="56" s="1"/>
  <c r="U12" i="56"/>
  <c r="U12" i="59"/>
  <c r="S11" i="59"/>
  <c r="T11" i="59" s="1"/>
  <c r="S11" i="53"/>
  <c r="T11" i="53" s="1"/>
  <c r="U12" i="53"/>
  <c r="U12" i="54"/>
  <c r="S11" i="54"/>
  <c r="T11" i="54" s="1"/>
  <c r="S11" i="57"/>
  <c r="T11" i="57" s="1"/>
  <c r="U12" i="57"/>
  <c r="U12" i="58"/>
  <c r="S11" i="58"/>
  <c r="T11" i="58" s="1"/>
  <c r="S11" i="52"/>
  <c r="T11" i="52" s="1"/>
  <c r="U12" i="52"/>
  <c r="U12" i="50"/>
  <c r="S11" i="50"/>
  <c r="T11" i="50" s="1"/>
  <c r="S11" i="49"/>
  <c r="T11" i="49" s="1"/>
  <c r="U12" i="49"/>
  <c r="S11" i="51"/>
  <c r="T11" i="51" s="1"/>
  <c r="U12" i="51"/>
  <c r="U12" i="47"/>
  <c r="S11" i="47"/>
  <c r="T11" i="47" s="1"/>
  <c r="S11" i="48"/>
  <c r="T11" i="48" s="1"/>
  <c r="U12" i="48"/>
  <c r="S11" i="46"/>
  <c r="T11" i="46" s="1"/>
  <c r="U12" i="46"/>
  <c r="W15" i="1"/>
  <c r="X15" i="1" s="1"/>
  <c r="U13" i="64" l="1"/>
  <c r="S12" i="64"/>
  <c r="T12" i="64" s="1"/>
  <c r="U13" i="65"/>
  <c r="S12" i="65"/>
  <c r="T12" i="65" s="1"/>
  <c r="U13" i="62"/>
  <c r="S12" i="62"/>
  <c r="T12" i="62" s="1"/>
  <c r="U13" i="63"/>
  <c r="S12" i="63"/>
  <c r="T12" i="63" s="1"/>
  <c r="U13" i="61"/>
  <c r="S12" i="61"/>
  <c r="T12" i="61" s="1"/>
  <c r="U13" i="58"/>
  <c r="S12" i="58"/>
  <c r="T12" i="58" s="1"/>
  <c r="S12" i="54"/>
  <c r="T12" i="54" s="1"/>
  <c r="U13" i="54"/>
  <c r="U13" i="59"/>
  <c r="S12" i="59"/>
  <c r="T12" i="59" s="1"/>
  <c r="S12" i="55"/>
  <c r="T12" i="55" s="1"/>
  <c r="U13" i="55"/>
  <c r="S12" i="57"/>
  <c r="T12" i="57" s="1"/>
  <c r="U13" i="57"/>
  <c r="U13" i="53"/>
  <c r="S12" i="53"/>
  <c r="T12" i="53" s="1"/>
  <c r="U13" i="56"/>
  <c r="S12" i="56"/>
  <c r="T12" i="56" s="1"/>
  <c r="U13" i="60"/>
  <c r="S12" i="60"/>
  <c r="T12" i="60" s="1"/>
  <c r="U13" i="51"/>
  <c r="S12" i="51"/>
  <c r="T12" i="51" s="1"/>
  <c r="U13" i="50"/>
  <c r="S12" i="50"/>
  <c r="T12" i="50" s="1"/>
  <c r="U13" i="49"/>
  <c r="S12" i="49"/>
  <c r="T12" i="49" s="1"/>
  <c r="U13" i="52"/>
  <c r="S12" i="52"/>
  <c r="T12" i="52" s="1"/>
  <c r="U13" i="48"/>
  <c r="S12" i="48"/>
  <c r="T12" i="48" s="1"/>
  <c r="U13" i="47"/>
  <c r="S12" i="47"/>
  <c r="T12" i="47" s="1"/>
  <c r="U13" i="46"/>
  <c r="S12" i="46"/>
  <c r="T12" i="46" s="1"/>
  <c r="S6" i="1"/>
  <c r="T6" i="1" s="1"/>
  <c r="U14" i="63" l="1"/>
  <c r="S13" i="63"/>
  <c r="T13" i="63" s="1"/>
  <c r="U14" i="65"/>
  <c r="S13" i="65"/>
  <c r="T13" i="65" s="1"/>
  <c r="U14" i="61"/>
  <c r="S13" i="61"/>
  <c r="T13" i="61" s="1"/>
  <c r="U14" i="62"/>
  <c r="S13" i="62"/>
  <c r="T13" i="62" s="1"/>
  <c r="U14" i="64"/>
  <c r="S13" i="64"/>
  <c r="T13" i="64" s="1"/>
  <c r="S13" i="55"/>
  <c r="T13" i="55" s="1"/>
  <c r="U14" i="55"/>
  <c r="S13" i="54"/>
  <c r="T13" i="54" s="1"/>
  <c r="U14" i="54"/>
  <c r="U14" i="60"/>
  <c r="S13" i="60"/>
  <c r="T13" i="60" s="1"/>
  <c r="U14" i="53"/>
  <c r="S13" i="53"/>
  <c r="T13" i="53" s="1"/>
  <c r="S13" i="57"/>
  <c r="T13" i="57" s="1"/>
  <c r="U14" i="57"/>
  <c r="U14" i="56"/>
  <c r="S13" i="56"/>
  <c r="T13" i="56" s="1"/>
  <c r="U14" i="59"/>
  <c r="S13" i="59"/>
  <c r="T13" i="59" s="1"/>
  <c r="S13" i="58"/>
  <c r="T13" i="58" s="1"/>
  <c r="U14" i="58"/>
  <c r="U14" i="52"/>
  <c r="S13" i="52"/>
  <c r="T13" i="52" s="1"/>
  <c r="S13" i="50"/>
  <c r="T13" i="50" s="1"/>
  <c r="U14" i="50"/>
  <c r="U14" i="49"/>
  <c r="S13" i="49"/>
  <c r="T13" i="49" s="1"/>
  <c r="U14" i="51"/>
  <c r="S13" i="51"/>
  <c r="T13" i="51" s="1"/>
  <c r="S13" i="47"/>
  <c r="T13" i="47" s="1"/>
  <c r="U14" i="47"/>
  <c r="U14" i="48"/>
  <c r="S13" i="48"/>
  <c r="T13" i="48" s="1"/>
  <c r="U14" i="46"/>
  <c r="S13" i="46"/>
  <c r="T13" i="46" s="1"/>
  <c r="S7" i="1"/>
  <c r="T7" i="1" s="1"/>
  <c r="U15" i="62" l="1"/>
  <c r="S14" i="62"/>
  <c r="T14" i="62" s="1"/>
  <c r="U15" i="65"/>
  <c r="S14" i="65"/>
  <c r="T14" i="65" s="1"/>
  <c r="U15" i="64"/>
  <c r="S14" i="64"/>
  <c r="T14" i="64" s="1"/>
  <c r="S14" i="61"/>
  <c r="T14" i="61" s="1"/>
  <c r="U15" i="61"/>
  <c r="U15" i="63"/>
  <c r="S14" i="63"/>
  <c r="T14" i="63" s="1"/>
  <c r="U15" i="56"/>
  <c r="S14" i="56"/>
  <c r="T14" i="56" s="1"/>
  <c r="U15" i="53"/>
  <c r="S14" i="53"/>
  <c r="T14" i="53" s="1"/>
  <c r="S14" i="54"/>
  <c r="T14" i="54" s="1"/>
  <c r="U15" i="54"/>
  <c r="S14" i="57"/>
  <c r="T14" i="57" s="1"/>
  <c r="U15" i="57"/>
  <c r="S14" i="55"/>
  <c r="T14" i="55" s="1"/>
  <c r="U15" i="55"/>
  <c r="S14" i="58"/>
  <c r="T14" i="58" s="1"/>
  <c r="U15" i="58"/>
  <c r="U15" i="59"/>
  <c r="S14" i="59"/>
  <c r="T14" i="59" s="1"/>
  <c r="U15" i="60"/>
  <c r="S14" i="60"/>
  <c r="T14" i="60" s="1"/>
  <c r="S14" i="50"/>
  <c r="T14" i="50" s="1"/>
  <c r="U15" i="50"/>
  <c r="U15" i="51"/>
  <c r="S14" i="51"/>
  <c r="T14" i="51" s="1"/>
  <c r="U15" i="49"/>
  <c r="S14" i="49"/>
  <c r="T14" i="49" s="1"/>
  <c r="U15" i="52"/>
  <c r="S14" i="52"/>
  <c r="T14" i="52" s="1"/>
  <c r="U15" i="48"/>
  <c r="S14" i="48"/>
  <c r="T14" i="48" s="1"/>
  <c r="S14" i="47"/>
  <c r="T14" i="47" s="1"/>
  <c r="U15" i="47"/>
  <c r="U15" i="46"/>
  <c r="S14" i="46"/>
  <c r="T14" i="46" s="1"/>
  <c r="S8" i="1"/>
  <c r="T8" i="1" s="1"/>
  <c r="S15" i="61" l="1"/>
  <c r="T15" i="61" s="1"/>
  <c r="Q6" i="61"/>
  <c r="Q6" i="65"/>
  <c r="S15" i="65"/>
  <c r="T15" i="65" s="1"/>
  <c r="Q6" i="63"/>
  <c r="S15" i="63"/>
  <c r="T15" i="63" s="1"/>
  <c r="S15" i="64"/>
  <c r="T15" i="64" s="1"/>
  <c r="Q6" i="64"/>
  <c r="S15" i="62"/>
  <c r="T15" i="62" s="1"/>
  <c r="Q6" i="62"/>
  <c r="S15" i="58"/>
  <c r="T15" i="58" s="1"/>
  <c r="Q6" i="58"/>
  <c r="Q6" i="60"/>
  <c r="S15" i="60"/>
  <c r="T15" i="60" s="1"/>
  <c r="S15" i="53"/>
  <c r="T15" i="53" s="1"/>
  <c r="Q6" i="53"/>
  <c r="Q6" i="57"/>
  <c r="S15" i="57"/>
  <c r="T15" i="57" s="1"/>
  <c r="S15" i="55"/>
  <c r="T15" i="55" s="1"/>
  <c r="Q6" i="55"/>
  <c r="Q6" i="54"/>
  <c r="S15" i="54"/>
  <c r="T15" i="54" s="1"/>
  <c r="S15" i="59"/>
  <c r="T15" i="59" s="1"/>
  <c r="Q6" i="59"/>
  <c r="S15" i="56"/>
  <c r="T15" i="56" s="1"/>
  <c r="Q6" i="56"/>
  <c r="S15" i="52"/>
  <c r="T15" i="52" s="1"/>
  <c r="Q6" i="52"/>
  <c r="S15" i="51"/>
  <c r="T15" i="51" s="1"/>
  <c r="Q6" i="51"/>
  <c r="Q6" i="50"/>
  <c r="S15" i="50"/>
  <c r="T15" i="50" s="1"/>
  <c r="S15" i="49"/>
  <c r="T15" i="49" s="1"/>
  <c r="Q6" i="49"/>
  <c r="S15" i="47"/>
  <c r="T15" i="47" s="1"/>
  <c r="Q6" i="47"/>
  <c r="S15" i="48"/>
  <c r="T15" i="48" s="1"/>
  <c r="Q6" i="48"/>
  <c r="S15" i="46"/>
  <c r="T15" i="46" s="1"/>
  <c r="Q6" i="46"/>
  <c r="S9" i="1"/>
  <c r="T9" i="1" s="1"/>
  <c r="O6" i="64" l="1"/>
  <c r="P6" i="64" s="1"/>
  <c r="Q7" i="64"/>
  <c r="Q7" i="65"/>
  <c r="O6" i="65"/>
  <c r="P6" i="65" s="1"/>
  <c r="Q7" i="62"/>
  <c r="O6" i="62"/>
  <c r="P6" i="62" s="1"/>
  <c r="Q7" i="61"/>
  <c r="O6" i="61"/>
  <c r="P6" i="61" s="1"/>
  <c r="Q7" i="63"/>
  <c r="O6" i="63"/>
  <c r="P6" i="63" s="1"/>
  <c r="Q7" i="56"/>
  <c r="O6" i="56"/>
  <c r="P6" i="56" s="1"/>
  <c r="O6" i="54"/>
  <c r="P6" i="54" s="1"/>
  <c r="Q7" i="54"/>
  <c r="O6" i="57"/>
  <c r="P6" i="57" s="1"/>
  <c r="Q7" i="57"/>
  <c r="Q7" i="60"/>
  <c r="O6" i="60"/>
  <c r="P6" i="60" s="1"/>
  <c r="Q7" i="59"/>
  <c r="O6" i="59"/>
  <c r="P6" i="59" s="1"/>
  <c r="Q7" i="55"/>
  <c r="O6" i="55"/>
  <c r="P6" i="55" s="1"/>
  <c r="Q7" i="53"/>
  <c r="O6" i="53"/>
  <c r="P6" i="53" s="1"/>
  <c r="O6" i="58"/>
  <c r="P6" i="58" s="1"/>
  <c r="Q7" i="58"/>
  <c r="Q7" i="49"/>
  <c r="O6" i="49"/>
  <c r="P6" i="49" s="1"/>
  <c r="Q7" i="52"/>
  <c r="O6" i="52"/>
  <c r="P6" i="52" s="1"/>
  <c r="Q7" i="51"/>
  <c r="O6" i="51"/>
  <c r="P6" i="51" s="1"/>
  <c r="O6" i="50"/>
  <c r="P6" i="50" s="1"/>
  <c r="Q7" i="50"/>
  <c r="Q7" i="47"/>
  <c r="O6" i="47"/>
  <c r="P6" i="47" s="1"/>
  <c r="Q7" i="48"/>
  <c r="O6" i="48"/>
  <c r="P6" i="48" s="1"/>
  <c r="O6" i="46"/>
  <c r="P6" i="46" s="1"/>
  <c r="Q7" i="46"/>
  <c r="S10" i="1"/>
  <c r="T10" i="1" s="1"/>
  <c r="Q8" i="61" l="1"/>
  <c r="O7" i="61"/>
  <c r="P7" i="61" s="1"/>
  <c r="O7" i="65"/>
  <c r="P7" i="65" s="1"/>
  <c r="Q8" i="65"/>
  <c r="Q8" i="64"/>
  <c r="O7" i="64"/>
  <c r="P7" i="64" s="1"/>
  <c r="O7" i="63"/>
  <c r="P7" i="63" s="1"/>
  <c r="Q8" i="63"/>
  <c r="Q8" i="62"/>
  <c r="O7" i="62"/>
  <c r="P7" i="62" s="1"/>
  <c r="O7" i="54"/>
  <c r="P7" i="54" s="1"/>
  <c r="Q8" i="54"/>
  <c r="Q8" i="55"/>
  <c r="O7" i="55"/>
  <c r="P7" i="55" s="1"/>
  <c r="O7" i="60"/>
  <c r="P7" i="60" s="1"/>
  <c r="Q8" i="60"/>
  <c r="Q8" i="58"/>
  <c r="O7" i="58"/>
  <c r="P7" i="58" s="1"/>
  <c r="O7" i="57"/>
  <c r="P7" i="57" s="1"/>
  <c r="Q8" i="57"/>
  <c r="O7" i="53"/>
  <c r="P7" i="53" s="1"/>
  <c r="Q8" i="53"/>
  <c r="Q8" i="59"/>
  <c r="O7" i="59"/>
  <c r="P7" i="59" s="1"/>
  <c r="Q8" i="56"/>
  <c r="O7" i="56"/>
  <c r="P7" i="56" s="1"/>
  <c r="O7" i="50"/>
  <c r="P7" i="50" s="1"/>
  <c r="Q8" i="50"/>
  <c r="Q8" i="52"/>
  <c r="O7" i="52"/>
  <c r="P7" i="52" s="1"/>
  <c r="Q8" i="51"/>
  <c r="O7" i="51"/>
  <c r="P7" i="51" s="1"/>
  <c r="O7" i="49"/>
  <c r="P7" i="49" s="1"/>
  <c r="Q8" i="49"/>
  <c r="Q8" i="48"/>
  <c r="O7" i="48"/>
  <c r="P7" i="48" s="1"/>
  <c r="Q8" i="47"/>
  <c r="O7" i="47"/>
  <c r="P7" i="47" s="1"/>
  <c r="Q8" i="46"/>
  <c r="O7" i="46"/>
  <c r="P7" i="46" s="1"/>
  <c r="S11" i="1"/>
  <c r="T11" i="1" s="1"/>
  <c r="O8" i="63" l="1"/>
  <c r="P8" i="63" s="1"/>
  <c r="Q9" i="63"/>
  <c r="O8" i="65"/>
  <c r="P8" i="65" s="1"/>
  <c r="Q9" i="65"/>
  <c r="Q9" i="62"/>
  <c r="O8" i="62"/>
  <c r="P8" i="62" s="1"/>
  <c r="Q9" i="64"/>
  <c r="O8" i="64"/>
  <c r="P8" i="64" s="1"/>
  <c r="O8" i="61"/>
  <c r="P8" i="61" s="1"/>
  <c r="Q9" i="61"/>
  <c r="Q9" i="56"/>
  <c r="O8" i="56"/>
  <c r="P8" i="56" s="1"/>
  <c r="Q9" i="58"/>
  <c r="O8" i="58"/>
  <c r="P8" i="58" s="1"/>
  <c r="Q9" i="55"/>
  <c r="O8" i="55"/>
  <c r="P8" i="55" s="1"/>
  <c r="O8" i="53"/>
  <c r="P8" i="53" s="1"/>
  <c r="Q9" i="53"/>
  <c r="O8" i="57"/>
  <c r="P8" i="57" s="1"/>
  <c r="Q9" i="57"/>
  <c r="O8" i="60"/>
  <c r="P8" i="60" s="1"/>
  <c r="Q9" i="60"/>
  <c r="O8" i="54"/>
  <c r="P8" i="54" s="1"/>
  <c r="Q9" i="54"/>
  <c r="O8" i="59"/>
  <c r="P8" i="59" s="1"/>
  <c r="Q9" i="59"/>
  <c r="O8" i="50"/>
  <c r="P8" i="50" s="1"/>
  <c r="Q9" i="50"/>
  <c r="O8" i="49"/>
  <c r="P8" i="49" s="1"/>
  <c r="Q9" i="49"/>
  <c r="O8" i="52"/>
  <c r="P8" i="52" s="1"/>
  <c r="Q9" i="52"/>
  <c r="Q9" i="51"/>
  <c r="O8" i="51"/>
  <c r="P8" i="51" s="1"/>
  <c r="Q9" i="47"/>
  <c r="O8" i="47"/>
  <c r="P8" i="47" s="1"/>
  <c r="O8" i="48"/>
  <c r="P8" i="48" s="1"/>
  <c r="Q9" i="48"/>
  <c r="O8" i="46"/>
  <c r="P8" i="46" s="1"/>
  <c r="Q9" i="46"/>
  <c r="S12" i="1"/>
  <c r="T12" i="1" s="1"/>
  <c r="O9" i="65" l="1"/>
  <c r="P9" i="65" s="1"/>
  <c r="Q10" i="65"/>
  <c r="Q10" i="64"/>
  <c r="O9" i="64"/>
  <c r="P9" i="64" s="1"/>
  <c r="Q10" i="61"/>
  <c r="O9" i="61"/>
  <c r="P9" i="61" s="1"/>
  <c r="Q10" i="63"/>
  <c r="O9" i="63"/>
  <c r="P9" i="63" s="1"/>
  <c r="Q10" i="62"/>
  <c r="O9" i="62"/>
  <c r="P9" i="62" s="1"/>
  <c r="O9" i="59"/>
  <c r="P9" i="59" s="1"/>
  <c r="Q10" i="59"/>
  <c r="O9" i="53"/>
  <c r="P9" i="53" s="1"/>
  <c r="Q10" i="53"/>
  <c r="Q10" i="58"/>
  <c r="O9" i="58"/>
  <c r="P9" i="58" s="1"/>
  <c r="O9" i="60"/>
  <c r="P9" i="60" s="1"/>
  <c r="Q10" i="60"/>
  <c r="O9" i="54"/>
  <c r="P9" i="54" s="1"/>
  <c r="Q10" i="54"/>
  <c r="O9" i="57"/>
  <c r="P9" i="57" s="1"/>
  <c r="Q10" i="57"/>
  <c r="Q10" i="55"/>
  <c r="O9" i="55"/>
  <c r="P9" i="55" s="1"/>
  <c r="Q10" i="56"/>
  <c r="O9" i="56"/>
  <c r="P9" i="56" s="1"/>
  <c r="Q10" i="51"/>
  <c r="O9" i="51"/>
  <c r="P9" i="51" s="1"/>
  <c r="O9" i="52"/>
  <c r="P9" i="52" s="1"/>
  <c r="Q10" i="52"/>
  <c r="O9" i="50"/>
  <c r="P9" i="50" s="1"/>
  <c r="Q10" i="50"/>
  <c r="O9" i="49"/>
  <c r="P9" i="49" s="1"/>
  <c r="Q10" i="49"/>
  <c r="O9" i="48"/>
  <c r="P9" i="48" s="1"/>
  <c r="Q10" i="48"/>
  <c r="Q10" i="47"/>
  <c r="O9" i="47"/>
  <c r="P9" i="47" s="1"/>
  <c r="O9" i="46"/>
  <c r="P9" i="46" s="1"/>
  <c r="Q10" i="46"/>
  <c r="S13" i="1"/>
  <c r="T13" i="1" s="1"/>
  <c r="O10" i="63" l="1"/>
  <c r="P10" i="63" s="1"/>
  <c r="Q11" i="63"/>
  <c r="Q11" i="64"/>
  <c r="O10" i="64"/>
  <c r="P10" i="64" s="1"/>
  <c r="O10" i="65"/>
  <c r="P10" i="65" s="1"/>
  <c r="Q11" i="65"/>
  <c r="O10" i="62"/>
  <c r="P10" i="62" s="1"/>
  <c r="Q11" i="62"/>
  <c r="Q11" i="61"/>
  <c r="O10" i="61"/>
  <c r="P10" i="61" s="1"/>
  <c r="Q11" i="57"/>
  <c r="O10" i="57"/>
  <c r="P10" i="57" s="1"/>
  <c r="O10" i="53"/>
  <c r="P10" i="53" s="1"/>
  <c r="Q11" i="53"/>
  <c r="O10" i="56"/>
  <c r="P10" i="56" s="1"/>
  <c r="Q11" i="56"/>
  <c r="O10" i="54"/>
  <c r="P10" i="54" s="1"/>
  <c r="Q11" i="54"/>
  <c r="O10" i="59"/>
  <c r="P10" i="59" s="1"/>
  <c r="Q11" i="59"/>
  <c r="O10" i="60"/>
  <c r="P10" i="60" s="1"/>
  <c r="Q11" i="60"/>
  <c r="Q11" i="55"/>
  <c r="O10" i="55"/>
  <c r="P10" i="55" s="1"/>
  <c r="Q11" i="58"/>
  <c r="O10" i="58"/>
  <c r="P10" i="58" s="1"/>
  <c r="O10" i="50"/>
  <c r="P10" i="50" s="1"/>
  <c r="Q11" i="50"/>
  <c r="O10" i="49"/>
  <c r="P10" i="49" s="1"/>
  <c r="Q11" i="49"/>
  <c r="O10" i="52"/>
  <c r="P10" i="52" s="1"/>
  <c r="Q11" i="52"/>
  <c r="O10" i="51"/>
  <c r="P10" i="51" s="1"/>
  <c r="Q11" i="51"/>
  <c r="Q11" i="47"/>
  <c r="O10" i="47"/>
  <c r="P10" i="47" s="1"/>
  <c r="O10" i="48"/>
  <c r="P10" i="48" s="1"/>
  <c r="Q11" i="48"/>
  <c r="O10" i="46"/>
  <c r="P10" i="46" s="1"/>
  <c r="Q11" i="46"/>
  <c r="S14" i="1"/>
  <c r="T14" i="1" s="1"/>
  <c r="O11" i="62" l="1"/>
  <c r="P11" i="62" s="1"/>
  <c r="Q12" i="62"/>
  <c r="O11" i="64"/>
  <c r="P11" i="64" s="1"/>
  <c r="Q12" i="64"/>
  <c r="O11" i="65"/>
  <c r="P11" i="65" s="1"/>
  <c r="Q12" i="65"/>
  <c r="O11" i="63"/>
  <c r="P11" i="63" s="1"/>
  <c r="Q12" i="63"/>
  <c r="Q12" i="61"/>
  <c r="O11" i="61"/>
  <c r="P11" i="61" s="1"/>
  <c r="Q12" i="58"/>
  <c r="O11" i="58"/>
  <c r="P11" i="58" s="1"/>
  <c r="Q12" i="54"/>
  <c r="O11" i="54"/>
  <c r="P11" i="54" s="1"/>
  <c r="Q12" i="59"/>
  <c r="O11" i="59"/>
  <c r="P11" i="59" s="1"/>
  <c r="O11" i="56"/>
  <c r="P11" i="56" s="1"/>
  <c r="Q12" i="56"/>
  <c r="O11" i="60"/>
  <c r="P11" i="60" s="1"/>
  <c r="Q12" i="60"/>
  <c r="Q12" i="53"/>
  <c r="O11" i="53"/>
  <c r="P11" i="53" s="1"/>
  <c r="Q12" i="55"/>
  <c r="O11" i="55"/>
  <c r="P11" i="55" s="1"/>
  <c r="Q12" i="57"/>
  <c r="O11" i="57"/>
  <c r="P11" i="57" s="1"/>
  <c r="O11" i="51"/>
  <c r="P11" i="51" s="1"/>
  <c r="Q12" i="51"/>
  <c r="O11" i="49"/>
  <c r="P11" i="49" s="1"/>
  <c r="Q12" i="49"/>
  <c r="O11" i="52"/>
  <c r="P11" i="52" s="1"/>
  <c r="Q12" i="52"/>
  <c r="Q12" i="50"/>
  <c r="O11" i="50"/>
  <c r="P11" i="50" s="1"/>
  <c r="O11" i="48"/>
  <c r="P11" i="48" s="1"/>
  <c r="Q12" i="48"/>
  <c r="Q12" i="47"/>
  <c r="O11" i="47"/>
  <c r="P11" i="47" s="1"/>
  <c r="O11" i="46"/>
  <c r="P11" i="46" s="1"/>
  <c r="Q12" i="46"/>
  <c r="S15" i="1"/>
  <c r="T15" i="1" s="1"/>
  <c r="Q13" i="63" l="1"/>
  <c r="O12" i="63"/>
  <c r="P12" i="63" s="1"/>
  <c r="Q13" i="64"/>
  <c r="O12" i="64"/>
  <c r="P12" i="64" s="1"/>
  <c r="Q13" i="65"/>
  <c r="O12" i="65"/>
  <c r="P12" i="65" s="1"/>
  <c r="Q13" i="62"/>
  <c r="O12" i="62"/>
  <c r="P12" i="62" s="1"/>
  <c r="Q13" i="61"/>
  <c r="O12" i="61"/>
  <c r="P12" i="61" s="1"/>
  <c r="O12" i="57"/>
  <c r="P12" i="57" s="1"/>
  <c r="Q13" i="57"/>
  <c r="Q13" i="53"/>
  <c r="O12" i="53"/>
  <c r="P12" i="53" s="1"/>
  <c r="O12" i="54"/>
  <c r="P12" i="54" s="1"/>
  <c r="Q13" i="54"/>
  <c r="Q13" i="56"/>
  <c r="O12" i="56"/>
  <c r="P12" i="56" s="1"/>
  <c r="Q13" i="60"/>
  <c r="O12" i="60"/>
  <c r="P12" i="60" s="1"/>
  <c r="Q13" i="55"/>
  <c r="O12" i="55"/>
  <c r="P12" i="55" s="1"/>
  <c r="Q13" i="59"/>
  <c r="O12" i="59"/>
  <c r="P12" i="59" s="1"/>
  <c r="Q13" i="58"/>
  <c r="O12" i="58"/>
  <c r="P12" i="58" s="1"/>
  <c r="Q13" i="50"/>
  <c r="O12" i="50"/>
  <c r="P12" i="50" s="1"/>
  <c r="Q13" i="52"/>
  <c r="O12" i="52"/>
  <c r="P12" i="52" s="1"/>
  <c r="Q13" i="51"/>
  <c r="O12" i="51"/>
  <c r="P12" i="51" s="1"/>
  <c r="Q13" i="49"/>
  <c r="O12" i="49"/>
  <c r="P12" i="49" s="1"/>
  <c r="Q13" i="47"/>
  <c r="O12" i="47"/>
  <c r="P12" i="47" s="1"/>
  <c r="Q13" i="48"/>
  <c r="O12" i="48"/>
  <c r="P12" i="48" s="1"/>
  <c r="Q13" i="46"/>
  <c r="O12" i="46"/>
  <c r="P12" i="46" s="1"/>
  <c r="O6" i="1"/>
  <c r="P6" i="1" s="1"/>
  <c r="Q14" i="62" l="1"/>
  <c r="O13" i="62"/>
  <c r="P13" i="62" s="1"/>
  <c r="Q14" i="64"/>
  <c r="O13" i="64"/>
  <c r="P13" i="64" s="1"/>
  <c r="Q14" i="61"/>
  <c r="O13" i="61"/>
  <c r="P13" i="61" s="1"/>
  <c r="Q14" i="65"/>
  <c r="O13" i="65"/>
  <c r="P13" i="65" s="1"/>
  <c r="Q14" i="63"/>
  <c r="O13" i="63"/>
  <c r="P13" i="63" s="1"/>
  <c r="O13" i="58"/>
  <c r="P13" i="58" s="1"/>
  <c r="Q14" i="58"/>
  <c r="O13" i="55"/>
  <c r="P13" i="55" s="1"/>
  <c r="Q14" i="55"/>
  <c r="Q14" i="56"/>
  <c r="O13" i="56"/>
  <c r="P13" i="56" s="1"/>
  <c r="Q14" i="53"/>
  <c r="O13" i="53"/>
  <c r="P13" i="53" s="1"/>
  <c r="O13" i="54"/>
  <c r="P13" i="54" s="1"/>
  <c r="Q14" i="54"/>
  <c r="O13" i="57"/>
  <c r="P13" i="57" s="1"/>
  <c r="Q14" i="57"/>
  <c r="Q14" i="59"/>
  <c r="O13" i="59"/>
  <c r="P13" i="59" s="1"/>
  <c r="Q14" i="60"/>
  <c r="O13" i="60"/>
  <c r="P13" i="60" s="1"/>
  <c r="Q14" i="49"/>
  <c r="O13" i="49"/>
  <c r="P13" i="49" s="1"/>
  <c r="Q14" i="52"/>
  <c r="O13" i="52"/>
  <c r="P13" i="52" s="1"/>
  <c r="Q14" i="51"/>
  <c r="O13" i="51"/>
  <c r="P13" i="51" s="1"/>
  <c r="O13" i="50"/>
  <c r="P13" i="50" s="1"/>
  <c r="Q14" i="50"/>
  <c r="Q14" i="48"/>
  <c r="O13" i="48"/>
  <c r="P13" i="48" s="1"/>
  <c r="O13" i="47"/>
  <c r="P13" i="47" s="1"/>
  <c r="Q14" i="47"/>
  <c r="Q14" i="46"/>
  <c r="O13" i="46"/>
  <c r="P13" i="46" s="1"/>
  <c r="O7" i="1"/>
  <c r="P7" i="1" s="1"/>
  <c r="Q15" i="65" l="1"/>
  <c r="O14" i="65"/>
  <c r="P14" i="65" s="1"/>
  <c r="Q15" i="64"/>
  <c r="O14" i="64"/>
  <c r="P14" i="64" s="1"/>
  <c r="Q15" i="63"/>
  <c r="O14" i="63"/>
  <c r="P14" i="63" s="1"/>
  <c r="O14" i="61"/>
  <c r="P14" i="61" s="1"/>
  <c r="Q15" i="61"/>
  <c r="Q15" i="62"/>
  <c r="O14" i="62"/>
  <c r="P14" i="62" s="1"/>
  <c r="Q15" i="57"/>
  <c r="O14" i="57"/>
  <c r="P14" i="57" s="1"/>
  <c r="Q15" i="60"/>
  <c r="O14" i="60"/>
  <c r="P14" i="60" s="1"/>
  <c r="Q15" i="53"/>
  <c r="O14" i="53"/>
  <c r="P14" i="53" s="1"/>
  <c r="O14" i="55"/>
  <c r="P14" i="55" s="1"/>
  <c r="Q15" i="55"/>
  <c r="O14" i="54"/>
  <c r="P14" i="54" s="1"/>
  <c r="Q15" i="54"/>
  <c r="O14" i="58"/>
  <c r="P14" i="58" s="1"/>
  <c r="Q15" i="58"/>
  <c r="Q15" i="59"/>
  <c r="O14" i="59"/>
  <c r="P14" i="59" s="1"/>
  <c r="Q15" i="56"/>
  <c r="O14" i="56"/>
  <c r="P14" i="56" s="1"/>
  <c r="O14" i="50"/>
  <c r="P14" i="50" s="1"/>
  <c r="Q15" i="50"/>
  <c r="Q15" i="52"/>
  <c r="O14" i="52"/>
  <c r="P14" i="52" s="1"/>
  <c r="O14" i="51"/>
  <c r="P14" i="51" s="1"/>
  <c r="Q15" i="51"/>
  <c r="Q15" i="49"/>
  <c r="O14" i="49"/>
  <c r="P14" i="49" s="1"/>
  <c r="Q15" i="47"/>
  <c r="O14" i="47"/>
  <c r="P14" i="47" s="1"/>
  <c r="Q15" i="48"/>
  <c r="O14" i="48"/>
  <c r="P14" i="48" s="1"/>
  <c r="Q15" i="46"/>
  <c r="O14" i="46"/>
  <c r="P14" i="46" s="1"/>
  <c r="O8" i="1"/>
  <c r="P8" i="1" s="1"/>
  <c r="O15" i="61" l="1"/>
  <c r="P15" i="61" s="1"/>
  <c r="M6" i="61"/>
  <c r="O15" i="64"/>
  <c r="P15" i="64" s="1"/>
  <c r="M6" i="64"/>
  <c r="M6" i="62"/>
  <c r="O15" i="62"/>
  <c r="P15" i="62" s="1"/>
  <c r="M6" i="63"/>
  <c r="O15" i="63"/>
  <c r="P15" i="63" s="1"/>
  <c r="M6" i="65"/>
  <c r="O15" i="65"/>
  <c r="P15" i="65" s="1"/>
  <c r="M6" i="56"/>
  <c r="O15" i="56"/>
  <c r="P15" i="56" s="1"/>
  <c r="O15" i="60"/>
  <c r="P15" i="60" s="1"/>
  <c r="M6" i="60"/>
  <c r="O15" i="58"/>
  <c r="P15" i="58" s="1"/>
  <c r="M6" i="58"/>
  <c r="M6" i="54"/>
  <c r="O15" i="54"/>
  <c r="P15" i="54" s="1"/>
  <c r="O15" i="55"/>
  <c r="P15" i="55" s="1"/>
  <c r="M6" i="55"/>
  <c r="O15" i="59"/>
  <c r="P15" i="59" s="1"/>
  <c r="M6" i="59"/>
  <c r="M6" i="53"/>
  <c r="O15" i="53"/>
  <c r="P15" i="53" s="1"/>
  <c r="O15" i="57"/>
  <c r="P15" i="57" s="1"/>
  <c r="M6" i="57"/>
  <c r="M6" i="49"/>
  <c r="O15" i="49"/>
  <c r="P15" i="49" s="1"/>
  <c r="O15" i="51"/>
  <c r="P15" i="51" s="1"/>
  <c r="M6" i="51"/>
  <c r="M6" i="50"/>
  <c r="O15" i="50"/>
  <c r="P15" i="50" s="1"/>
  <c r="O15" i="52"/>
  <c r="P15" i="52" s="1"/>
  <c r="M6" i="52"/>
  <c r="O15" i="48"/>
  <c r="P15" i="48" s="1"/>
  <c r="M6" i="48"/>
  <c r="O15" i="47"/>
  <c r="P15" i="47" s="1"/>
  <c r="M6" i="47"/>
  <c r="O15" i="46"/>
  <c r="P15" i="46" s="1"/>
  <c r="M6" i="46"/>
  <c r="O9" i="1"/>
  <c r="P9" i="1" s="1"/>
  <c r="K6" i="63" l="1"/>
  <c r="L6" i="63" s="1"/>
  <c r="M7" i="63"/>
  <c r="M7" i="64"/>
  <c r="K6" i="64"/>
  <c r="L6" i="64" s="1"/>
  <c r="M7" i="61"/>
  <c r="K6" i="61"/>
  <c r="L6" i="61" s="1"/>
  <c r="M7" i="65"/>
  <c r="K6" i="65"/>
  <c r="L6" i="65" s="1"/>
  <c r="M7" i="62"/>
  <c r="K6" i="62"/>
  <c r="L6" i="62" s="1"/>
  <c r="M7" i="54"/>
  <c r="K6" i="54"/>
  <c r="L6" i="54" s="1"/>
  <c r="M7" i="57"/>
  <c r="K6" i="57"/>
  <c r="L6" i="57" s="1"/>
  <c r="M7" i="59"/>
  <c r="K6" i="59"/>
  <c r="L6" i="59" s="1"/>
  <c r="K6" i="60"/>
  <c r="L6" i="60" s="1"/>
  <c r="M7" i="60"/>
  <c r="M7" i="55"/>
  <c r="K6" i="55"/>
  <c r="L6" i="55" s="1"/>
  <c r="M7" i="58"/>
  <c r="K6" i="58"/>
  <c r="L6" i="58" s="1"/>
  <c r="M7" i="53"/>
  <c r="K6" i="53"/>
  <c r="L6" i="53" s="1"/>
  <c r="M7" i="56"/>
  <c r="K6" i="56"/>
  <c r="L6" i="56" s="1"/>
  <c r="K6" i="51"/>
  <c r="L6" i="51" s="1"/>
  <c r="M7" i="51"/>
  <c r="M7" i="52"/>
  <c r="K6" i="52"/>
  <c r="L6" i="52" s="1"/>
  <c r="M7" i="50"/>
  <c r="K6" i="50"/>
  <c r="L6" i="50" s="1"/>
  <c r="M7" i="49"/>
  <c r="K6" i="49"/>
  <c r="L6" i="49" s="1"/>
  <c r="M7" i="47"/>
  <c r="K6" i="47"/>
  <c r="L6" i="47" s="1"/>
  <c r="M7" i="48"/>
  <c r="K6" i="48"/>
  <c r="L6" i="48" s="1"/>
  <c r="M7" i="46"/>
  <c r="K6" i="46"/>
  <c r="L6" i="46" s="1"/>
  <c r="O10" i="1"/>
  <c r="P10" i="1" s="1"/>
  <c r="K7" i="65" l="1"/>
  <c r="L7" i="65" s="1"/>
  <c r="M8" i="65"/>
  <c r="M8" i="64"/>
  <c r="K7" i="64"/>
  <c r="L7" i="64" s="1"/>
  <c r="K7" i="63"/>
  <c r="L7" i="63" s="1"/>
  <c r="M8" i="63"/>
  <c r="M8" i="62"/>
  <c r="K7" i="62"/>
  <c r="L7" i="62" s="1"/>
  <c r="K7" i="61"/>
  <c r="L7" i="61" s="1"/>
  <c r="M8" i="61"/>
  <c r="M8" i="56"/>
  <c r="K7" i="56"/>
  <c r="L7" i="56" s="1"/>
  <c r="M8" i="58"/>
  <c r="K7" i="58"/>
  <c r="L7" i="58" s="1"/>
  <c r="K7" i="57"/>
  <c r="L7" i="57" s="1"/>
  <c r="M8" i="57"/>
  <c r="M8" i="60"/>
  <c r="K7" i="60"/>
  <c r="L7" i="60" s="1"/>
  <c r="K7" i="53"/>
  <c r="L7" i="53" s="1"/>
  <c r="M8" i="53"/>
  <c r="M8" i="55"/>
  <c r="K7" i="55"/>
  <c r="L7" i="55" s="1"/>
  <c r="M8" i="59"/>
  <c r="K7" i="59"/>
  <c r="L7" i="59" s="1"/>
  <c r="K7" i="54"/>
  <c r="L7" i="54" s="1"/>
  <c r="M8" i="54"/>
  <c r="K7" i="49"/>
  <c r="L7" i="49" s="1"/>
  <c r="M8" i="49"/>
  <c r="M8" i="52"/>
  <c r="K7" i="52"/>
  <c r="L7" i="52" s="1"/>
  <c r="M8" i="51"/>
  <c r="K7" i="51"/>
  <c r="L7" i="51" s="1"/>
  <c r="K7" i="50"/>
  <c r="L7" i="50" s="1"/>
  <c r="M8" i="50"/>
  <c r="M8" i="48"/>
  <c r="K7" i="48"/>
  <c r="L7" i="48" s="1"/>
  <c r="M8" i="47"/>
  <c r="K7" i="47"/>
  <c r="L7" i="47" s="1"/>
  <c r="M8" i="46"/>
  <c r="K7" i="46"/>
  <c r="L7" i="46" s="1"/>
  <c r="O11" i="1"/>
  <c r="P11" i="1" s="1"/>
  <c r="M9" i="62" l="1"/>
  <c r="K8" i="62"/>
  <c r="L8" i="62" s="1"/>
  <c r="M9" i="64"/>
  <c r="K8" i="64"/>
  <c r="L8" i="64" s="1"/>
  <c r="M9" i="61"/>
  <c r="K8" i="61"/>
  <c r="L8" i="61" s="1"/>
  <c r="K8" i="63"/>
  <c r="L8" i="63" s="1"/>
  <c r="M9" i="63"/>
  <c r="M9" i="65"/>
  <c r="K8" i="65"/>
  <c r="L8" i="65" s="1"/>
  <c r="K8" i="54"/>
  <c r="L8" i="54" s="1"/>
  <c r="M9" i="54"/>
  <c r="M9" i="55"/>
  <c r="K8" i="55"/>
  <c r="L8" i="55" s="1"/>
  <c r="K8" i="60"/>
  <c r="L8" i="60" s="1"/>
  <c r="M9" i="60"/>
  <c r="M9" i="58"/>
  <c r="K8" i="58"/>
  <c r="L8" i="58" s="1"/>
  <c r="K8" i="53"/>
  <c r="L8" i="53" s="1"/>
  <c r="M9" i="53"/>
  <c r="K8" i="57"/>
  <c r="L8" i="57" s="1"/>
  <c r="M9" i="57"/>
  <c r="K8" i="59"/>
  <c r="L8" i="59" s="1"/>
  <c r="M9" i="59"/>
  <c r="M9" i="56"/>
  <c r="K8" i="56"/>
  <c r="L8" i="56" s="1"/>
  <c r="K8" i="52"/>
  <c r="L8" i="52" s="1"/>
  <c r="M9" i="52"/>
  <c r="K8" i="49"/>
  <c r="L8" i="49" s="1"/>
  <c r="M9" i="49"/>
  <c r="K8" i="50"/>
  <c r="L8" i="50" s="1"/>
  <c r="M9" i="50"/>
  <c r="M9" i="51"/>
  <c r="K8" i="51"/>
  <c r="L8" i="51" s="1"/>
  <c r="M9" i="47"/>
  <c r="K8" i="47"/>
  <c r="L8" i="47" s="1"/>
  <c r="K8" i="48"/>
  <c r="L8" i="48" s="1"/>
  <c r="M9" i="48"/>
  <c r="K8" i="46"/>
  <c r="L8" i="46" s="1"/>
  <c r="M9" i="46"/>
  <c r="O12" i="1"/>
  <c r="P12" i="1" s="1"/>
  <c r="M10" i="64" l="1"/>
  <c r="K9" i="64"/>
  <c r="L9" i="64" s="1"/>
  <c r="M10" i="63"/>
  <c r="K9" i="63"/>
  <c r="L9" i="63" s="1"/>
  <c r="K9" i="65"/>
  <c r="L9" i="65" s="1"/>
  <c r="M10" i="65"/>
  <c r="M10" i="61"/>
  <c r="K9" i="61"/>
  <c r="L9" i="61" s="1"/>
  <c r="M10" i="62"/>
  <c r="K9" i="62"/>
  <c r="L9" i="62" s="1"/>
  <c r="K9" i="57"/>
  <c r="L9" i="57" s="1"/>
  <c r="M10" i="57"/>
  <c r="M10" i="56"/>
  <c r="K9" i="56"/>
  <c r="L9" i="56" s="1"/>
  <c r="M10" i="58"/>
  <c r="K9" i="58"/>
  <c r="L9" i="58" s="1"/>
  <c r="M10" i="55"/>
  <c r="K9" i="55"/>
  <c r="L9" i="55" s="1"/>
  <c r="K9" i="59"/>
  <c r="L9" i="59" s="1"/>
  <c r="M10" i="59"/>
  <c r="K9" i="53"/>
  <c r="L9" i="53" s="1"/>
  <c r="M10" i="53"/>
  <c r="K9" i="60"/>
  <c r="L9" i="60" s="1"/>
  <c r="M10" i="60"/>
  <c r="K9" i="54"/>
  <c r="L9" i="54" s="1"/>
  <c r="M10" i="54"/>
  <c r="K9" i="49"/>
  <c r="L9" i="49" s="1"/>
  <c r="M10" i="49"/>
  <c r="M10" i="51"/>
  <c r="K9" i="51"/>
  <c r="L9" i="51" s="1"/>
  <c r="K9" i="50"/>
  <c r="L9" i="50" s="1"/>
  <c r="M10" i="50"/>
  <c r="K9" i="52"/>
  <c r="L9" i="52" s="1"/>
  <c r="M10" i="52"/>
  <c r="K9" i="48"/>
  <c r="L9" i="48" s="1"/>
  <c r="M10" i="48"/>
  <c r="M10" i="47"/>
  <c r="K9" i="47"/>
  <c r="L9" i="47" s="1"/>
  <c r="K9" i="46"/>
  <c r="L9" i="46" s="1"/>
  <c r="M10" i="46"/>
  <c r="O13" i="1"/>
  <c r="P13" i="1" s="1"/>
  <c r="M11" i="61" l="1"/>
  <c r="K10" i="61"/>
  <c r="L10" i="61" s="1"/>
  <c r="K10" i="63"/>
  <c r="L10" i="63" s="1"/>
  <c r="M11" i="63"/>
  <c r="K10" i="65"/>
  <c r="L10" i="65" s="1"/>
  <c r="M11" i="65"/>
  <c r="K10" i="62"/>
  <c r="L10" i="62" s="1"/>
  <c r="M11" i="62"/>
  <c r="M11" i="64"/>
  <c r="K10" i="64"/>
  <c r="L10" i="64" s="1"/>
  <c r="M11" i="55"/>
  <c r="K10" i="55"/>
  <c r="L10" i="55" s="1"/>
  <c r="M11" i="56"/>
  <c r="K10" i="56"/>
  <c r="L10" i="56" s="1"/>
  <c r="K10" i="54"/>
  <c r="L10" i="54" s="1"/>
  <c r="M11" i="54"/>
  <c r="K10" i="53"/>
  <c r="L10" i="53" s="1"/>
  <c r="M11" i="53"/>
  <c r="K10" i="60"/>
  <c r="L10" i="60" s="1"/>
  <c r="M11" i="60"/>
  <c r="K10" i="59"/>
  <c r="L10" i="59" s="1"/>
  <c r="M11" i="59"/>
  <c r="K10" i="57"/>
  <c r="L10" i="57" s="1"/>
  <c r="M11" i="57"/>
  <c r="M11" i="58"/>
  <c r="K10" i="58"/>
  <c r="L10" i="58" s="1"/>
  <c r="K10" i="51"/>
  <c r="L10" i="51" s="1"/>
  <c r="M11" i="51"/>
  <c r="K10" i="50"/>
  <c r="L10" i="50" s="1"/>
  <c r="M11" i="50"/>
  <c r="K10" i="49"/>
  <c r="L10" i="49" s="1"/>
  <c r="M11" i="49"/>
  <c r="K10" i="52"/>
  <c r="L10" i="52" s="1"/>
  <c r="M11" i="52"/>
  <c r="M11" i="47"/>
  <c r="K10" i="47"/>
  <c r="L10" i="47" s="1"/>
  <c r="K10" i="48"/>
  <c r="L10" i="48" s="1"/>
  <c r="M11" i="48"/>
  <c r="K10" i="46"/>
  <c r="L10" i="46" s="1"/>
  <c r="M11" i="46"/>
  <c r="O14" i="1"/>
  <c r="P14" i="1" s="1"/>
  <c r="K11" i="62" l="1"/>
  <c r="L11" i="62" s="1"/>
  <c r="M12" i="62"/>
  <c r="K11" i="63"/>
  <c r="L11" i="63" s="1"/>
  <c r="M12" i="63"/>
  <c r="K11" i="65"/>
  <c r="L11" i="65" s="1"/>
  <c r="M12" i="65"/>
  <c r="K11" i="64"/>
  <c r="L11" i="64" s="1"/>
  <c r="M12" i="64"/>
  <c r="M12" i="61"/>
  <c r="K11" i="61"/>
  <c r="L11" i="61" s="1"/>
  <c r="M12" i="59"/>
  <c r="K11" i="59"/>
  <c r="L11" i="59" s="1"/>
  <c r="K11" i="53"/>
  <c r="L11" i="53" s="1"/>
  <c r="M12" i="53"/>
  <c r="M12" i="58"/>
  <c r="K11" i="58"/>
  <c r="L11" i="58" s="1"/>
  <c r="K11" i="56"/>
  <c r="L11" i="56" s="1"/>
  <c r="M12" i="56"/>
  <c r="K11" i="57"/>
  <c r="L11" i="57" s="1"/>
  <c r="M12" i="57"/>
  <c r="K11" i="60"/>
  <c r="L11" i="60" s="1"/>
  <c r="M12" i="60"/>
  <c r="M12" i="54"/>
  <c r="K11" i="54"/>
  <c r="L11" i="54" s="1"/>
  <c r="M12" i="55"/>
  <c r="K11" i="55"/>
  <c r="L11" i="55" s="1"/>
  <c r="K11" i="52"/>
  <c r="L11" i="52" s="1"/>
  <c r="M12" i="52"/>
  <c r="K11" i="49"/>
  <c r="L11" i="49" s="1"/>
  <c r="M12" i="49"/>
  <c r="K11" i="51"/>
  <c r="L11" i="51" s="1"/>
  <c r="M12" i="51"/>
  <c r="M12" i="50"/>
  <c r="K11" i="50"/>
  <c r="L11" i="50" s="1"/>
  <c r="K11" i="48"/>
  <c r="L11" i="48" s="1"/>
  <c r="M12" i="48"/>
  <c r="M12" i="47"/>
  <c r="K11" i="47"/>
  <c r="L11" i="47" s="1"/>
  <c r="K11" i="46"/>
  <c r="L11" i="46" s="1"/>
  <c r="M12" i="46"/>
  <c r="O15" i="1"/>
  <c r="P15" i="1" s="1"/>
  <c r="M13" i="64" l="1"/>
  <c r="K12" i="64"/>
  <c r="L12" i="64" s="1"/>
  <c r="M13" i="63"/>
  <c r="K12" i="63"/>
  <c r="L12" i="63" s="1"/>
  <c r="M13" i="65"/>
  <c r="K12" i="65"/>
  <c r="L12" i="65" s="1"/>
  <c r="M13" i="62"/>
  <c r="K12" i="62"/>
  <c r="L12" i="62" s="1"/>
  <c r="M13" i="61"/>
  <c r="K12" i="61"/>
  <c r="L12" i="61" s="1"/>
  <c r="M13" i="53"/>
  <c r="K12" i="53"/>
  <c r="L12" i="53" s="1"/>
  <c r="K12" i="55"/>
  <c r="L12" i="55" s="1"/>
  <c r="M13" i="55"/>
  <c r="K12" i="57"/>
  <c r="L12" i="57" s="1"/>
  <c r="M13" i="57"/>
  <c r="M13" i="60"/>
  <c r="K12" i="60"/>
  <c r="L12" i="60" s="1"/>
  <c r="M13" i="56"/>
  <c r="K12" i="56"/>
  <c r="L12" i="56" s="1"/>
  <c r="K12" i="54"/>
  <c r="L12" i="54" s="1"/>
  <c r="M13" i="54"/>
  <c r="M13" i="58"/>
  <c r="K12" i="58"/>
  <c r="L12" i="58" s="1"/>
  <c r="M13" i="59"/>
  <c r="K12" i="59"/>
  <c r="L12" i="59" s="1"/>
  <c r="M13" i="49"/>
  <c r="K12" i="49"/>
  <c r="L12" i="49" s="1"/>
  <c r="M13" i="50"/>
  <c r="K12" i="50"/>
  <c r="L12" i="50" s="1"/>
  <c r="M13" i="51"/>
  <c r="K12" i="51"/>
  <c r="L12" i="51" s="1"/>
  <c r="M13" i="52"/>
  <c r="K12" i="52"/>
  <c r="L12" i="52" s="1"/>
  <c r="M13" i="47"/>
  <c r="K12" i="47"/>
  <c r="L12" i="47" s="1"/>
  <c r="M13" i="48"/>
  <c r="K12" i="48"/>
  <c r="L12" i="48" s="1"/>
  <c r="M13" i="46"/>
  <c r="K12" i="46"/>
  <c r="L12" i="46" s="1"/>
  <c r="K6" i="1"/>
  <c r="L6" i="1" s="1"/>
  <c r="M14" i="62" l="1"/>
  <c r="K13" i="62"/>
  <c r="L13" i="62" s="1"/>
  <c r="M14" i="63"/>
  <c r="K13" i="63"/>
  <c r="L13" i="63" s="1"/>
  <c r="M14" i="61"/>
  <c r="K13" i="61"/>
  <c r="L13" i="61" s="1"/>
  <c r="M14" i="65"/>
  <c r="K13" i="65"/>
  <c r="L13" i="65" s="1"/>
  <c r="M14" i="64"/>
  <c r="K13" i="64"/>
  <c r="L13" i="64" s="1"/>
  <c r="K13" i="54"/>
  <c r="L13" i="54" s="1"/>
  <c r="M14" i="54"/>
  <c r="K13" i="55"/>
  <c r="L13" i="55" s="1"/>
  <c r="M14" i="55"/>
  <c r="M14" i="59"/>
  <c r="K13" i="59"/>
  <c r="L13" i="59" s="1"/>
  <c r="M14" i="60"/>
  <c r="K13" i="60"/>
  <c r="L13" i="60" s="1"/>
  <c r="M14" i="57"/>
  <c r="K13" i="57"/>
  <c r="L13" i="57" s="1"/>
  <c r="K13" i="58"/>
  <c r="L13" i="58" s="1"/>
  <c r="M14" i="58"/>
  <c r="M14" i="56"/>
  <c r="K13" i="56"/>
  <c r="L13" i="56" s="1"/>
  <c r="M14" i="53"/>
  <c r="K13" i="53"/>
  <c r="L13" i="53" s="1"/>
  <c r="M14" i="52"/>
  <c r="K13" i="52"/>
  <c r="L13" i="52" s="1"/>
  <c r="K13" i="50"/>
  <c r="L13" i="50" s="1"/>
  <c r="M14" i="50"/>
  <c r="M14" i="51"/>
  <c r="K13" i="51"/>
  <c r="L13" i="51" s="1"/>
  <c r="M14" i="49"/>
  <c r="K13" i="49"/>
  <c r="L13" i="49" s="1"/>
  <c r="M14" i="48"/>
  <c r="K13" i="48"/>
  <c r="L13" i="48" s="1"/>
  <c r="K13" i="47"/>
  <c r="L13" i="47" s="1"/>
  <c r="M14" i="47"/>
  <c r="M14" i="46"/>
  <c r="K13" i="46"/>
  <c r="L13" i="46" s="1"/>
  <c r="K7" i="1"/>
  <c r="L7" i="1" s="1"/>
  <c r="M15" i="65" l="1"/>
  <c r="K14" i="65"/>
  <c r="L14" i="65" s="1"/>
  <c r="M15" i="63"/>
  <c r="K14" i="63"/>
  <c r="L14" i="63" s="1"/>
  <c r="M15" i="64"/>
  <c r="K14" i="64"/>
  <c r="L14" i="64" s="1"/>
  <c r="K14" i="61"/>
  <c r="L14" i="61" s="1"/>
  <c r="M15" i="61"/>
  <c r="M15" i="62"/>
  <c r="K14" i="62"/>
  <c r="L14" i="62" s="1"/>
  <c r="M15" i="53"/>
  <c r="K14" i="53"/>
  <c r="L14" i="53" s="1"/>
  <c r="M15" i="60"/>
  <c r="K14" i="60"/>
  <c r="L14" i="60" s="1"/>
  <c r="M15" i="55"/>
  <c r="K14" i="55"/>
  <c r="L14" i="55" s="1"/>
  <c r="K14" i="54"/>
  <c r="L14" i="54" s="1"/>
  <c r="M15" i="54"/>
  <c r="K14" i="58"/>
  <c r="L14" i="58" s="1"/>
  <c r="M15" i="58"/>
  <c r="M15" i="56"/>
  <c r="K14" i="56"/>
  <c r="L14" i="56" s="1"/>
  <c r="M15" i="57"/>
  <c r="K14" i="57"/>
  <c r="L14" i="57" s="1"/>
  <c r="M15" i="59"/>
  <c r="K14" i="59"/>
  <c r="L14" i="59" s="1"/>
  <c r="K14" i="50"/>
  <c r="L14" i="50" s="1"/>
  <c r="M15" i="50"/>
  <c r="M15" i="49"/>
  <c r="K14" i="49"/>
  <c r="L14" i="49" s="1"/>
  <c r="K14" i="51"/>
  <c r="L14" i="51" s="1"/>
  <c r="M15" i="51"/>
  <c r="M15" i="52"/>
  <c r="K14" i="52"/>
  <c r="L14" i="52" s="1"/>
  <c r="K14" i="47"/>
  <c r="L14" i="47" s="1"/>
  <c r="M15" i="47"/>
  <c r="M15" i="48"/>
  <c r="K14" i="48"/>
  <c r="L14" i="48" s="1"/>
  <c r="M15" i="46"/>
  <c r="K14" i="46"/>
  <c r="L14" i="46" s="1"/>
  <c r="K8" i="1"/>
  <c r="L8" i="1" s="1"/>
  <c r="I6" i="63" l="1"/>
  <c r="K15" i="63"/>
  <c r="L15" i="63" s="1"/>
  <c r="K15" i="61"/>
  <c r="L15" i="61" s="1"/>
  <c r="I6" i="61"/>
  <c r="I6" i="62"/>
  <c r="K15" i="62"/>
  <c r="L15" i="62" s="1"/>
  <c r="K15" i="64"/>
  <c r="L15" i="64" s="1"/>
  <c r="I6" i="64"/>
  <c r="I6" i="65"/>
  <c r="K15" i="65"/>
  <c r="L15" i="65" s="1"/>
  <c r="K15" i="59"/>
  <c r="L15" i="59" s="1"/>
  <c r="I6" i="59"/>
  <c r="K15" i="56"/>
  <c r="L15" i="56" s="1"/>
  <c r="I6" i="56"/>
  <c r="I6" i="60"/>
  <c r="K15" i="60"/>
  <c r="L15" i="60" s="1"/>
  <c r="K15" i="58"/>
  <c r="L15" i="58" s="1"/>
  <c r="I6" i="58"/>
  <c r="I6" i="54"/>
  <c r="K15" i="54"/>
  <c r="L15" i="54" s="1"/>
  <c r="K15" i="57"/>
  <c r="L15" i="57" s="1"/>
  <c r="I6" i="57"/>
  <c r="K15" i="55"/>
  <c r="L15" i="55" s="1"/>
  <c r="I6" i="55"/>
  <c r="K15" i="53"/>
  <c r="L15" i="53" s="1"/>
  <c r="I6" i="53"/>
  <c r="K15" i="52"/>
  <c r="L15" i="52" s="1"/>
  <c r="I6" i="52"/>
  <c r="K15" i="49"/>
  <c r="L15" i="49" s="1"/>
  <c r="I6" i="49"/>
  <c r="K15" i="51"/>
  <c r="L15" i="51" s="1"/>
  <c r="I6" i="51"/>
  <c r="I6" i="50"/>
  <c r="K15" i="50"/>
  <c r="L15" i="50" s="1"/>
  <c r="K15" i="48"/>
  <c r="L15" i="48" s="1"/>
  <c r="I6" i="48"/>
  <c r="K15" i="47"/>
  <c r="L15" i="47" s="1"/>
  <c r="I6" i="47"/>
  <c r="K15" i="46"/>
  <c r="L15" i="46" s="1"/>
  <c r="I6" i="46"/>
  <c r="K9" i="1"/>
  <c r="L9" i="1" s="1"/>
  <c r="I7" i="61" l="1"/>
  <c r="G6" i="61"/>
  <c r="H6" i="61" s="1"/>
  <c r="I7" i="64"/>
  <c r="G6" i="64"/>
  <c r="H6" i="64" s="1"/>
  <c r="I7" i="65"/>
  <c r="G6" i="65"/>
  <c r="H6" i="65" s="1"/>
  <c r="I7" i="62"/>
  <c r="G6" i="62"/>
  <c r="H6" i="62" s="1"/>
  <c r="G6" i="63"/>
  <c r="H6" i="63" s="1"/>
  <c r="I7" i="63"/>
  <c r="I7" i="58"/>
  <c r="G6" i="58"/>
  <c r="H6" i="58" s="1"/>
  <c r="I7" i="57"/>
  <c r="G6" i="57"/>
  <c r="H6" i="57" s="1"/>
  <c r="I7" i="56"/>
  <c r="G6" i="56"/>
  <c r="H6" i="56" s="1"/>
  <c r="I7" i="55"/>
  <c r="G6" i="55"/>
  <c r="H6" i="55" s="1"/>
  <c r="I7" i="59"/>
  <c r="G6" i="59"/>
  <c r="H6" i="59" s="1"/>
  <c r="I7" i="53"/>
  <c r="G6" i="53"/>
  <c r="H6" i="53" s="1"/>
  <c r="G6" i="54"/>
  <c r="H6" i="54" s="1"/>
  <c r="I7" i="54"/>
  <c r="I7" i="60"/>
  <c r="G6" i="60"/>
  <c r="H6" i="60" s="1"/>
  <c r="I7" i="49"/>
  <c r="G6" i="49"/>
  <c r="H6" i="49" s="1"/>
  <c r="G6" i="50"/>
  <c r="H6" i="50" s="1"/>
  <c r="I7" i="50"/>
  <c r="G6" i="51"/>
  <c r="H6" i="51" s="1"/>
  <c r="I7" i="51"/>
  <c r="I7" i="52"/>
  <c r="G6" i="52"/>
  <c r="H6" i="52" s="1"/>
  <c r="I7" i="48"/>
  <c r="G6" i="48"/>
  <c r="H6" i="48" s="1"/>
  <c r="I7" i="47"/>
  <c r="G6" i="47"/>
  <c r="H6" i="47" s="1"/>
  <c r="G6" i="46"/>
  <c r="H6" i="46" s="1"/>
  <c r="I7" i="46"/>
  <c r="K10" i="1"/>
  <c r="L10" i="1" s="1"/>
  <c r="I8" i="62" l="1"/>
  <c r="G7" i="62"/>
  <c r="H7" i="62" s="1"/>
  <c r="I8" i="64"/>
  <c r="G7" i="64"/>
  <c r="H7" i="64" s="1"/>
  <c r="G7" i="63"/>
  <c r="H7" i="63" s="1"/>
  <c r="I8" i="63"/>
  <c r="G7" i="65"/>
  <c r="H7" i="65" s="1"/>
  <c r="I8" i="65"/>
  <c r="I8" i="61"/>
  <c r="G7" i="61"/>
  <c r="H7" i="61" s="1"/>
  <c r="G7" i="60"/>
  <c r="H7" i="60" s="1"/>
  <c r="I8" i="60"/>
  <c r="G7" i="53"/>
  <c r="H7" i="53" s="1"/>
  <c r="I8" i="53"/>
  <c r="I8" i="55"/>
  <c r="G7" i="55"/>
  <c r="H7" i="55" s="1"/>
  <c r="G7" i="57"/>
  <c r="H7" i="57" s="1"/>
  <c r="I8" i="57"/>
  <c r="G7" i="54"/>
  <c r="H7" i="54" s="1"/>
  <c r="I8" i="54"/>
  <c r="I8" i="59"/>
  <c r="G7" i="59"/>
  <c r="H7" i="59" s="1"/>
  <c r="I8" i="56"/>
  <c r="G7" i="56"/>
  <c r="H7" i="56" s="1"/>
  <c r="G7" i="58"/>
  <c r="H7" i="58" s="1"/>
  <c r="I8" i="58"/>
  <c r="I8" i="52"/>
  <c r="G7" i="52"/>
  <c r="H7" i="52" s="1"/>
  <c r="I8" i="51"/>
  <c r="G7" i="51"/>
  <c r="H7" i="51" s="1"/>
  <c r="G7" i="50"/>
  <c r="H7" i="50" s="1"/>
  <c r="I8" i="50"/>
  <c r="G7" i="49"/>
  <c r="H7" i="49" s="1"/>
  <c r="I8" i="49"/>
  <c r="I8" i="47"/>
  <c r="G7" i="47"/>
  <c r="H7" i="47" s="1"/>
  <c r="I8" i="48"/>
  <c r="G7" i="48"/>
  <c r="H7" i="48" s="1"/>
  <c r="I8" i="46"/>
  <c r="G7" i="46"/>
  <c r="H7" i="46" s="1"/>
  <c r="K11" i="1"/>
  <c r="L11" i="1" s="1"/>
  <c r="I9" i="64" l="1"/>
  <c r="G8" i="64"/>
  <c r="H8" i="64" s="1"/>
  <c r="G8" i="65"/>
  <c r="H8" i="65" s="1"/>
  <c r="I9" i="65"/>
  <c r="G8" i="63"/>
  <c r="H8" i="63" s="1"/>
  <c r="I9" i="63"/>
  <c r="I9" i="61"/>
  <c r="G8" i="61"/>
  <c r="H8" i="61" s="1"/>
  <c r="I9" i="62"/>
  <c r="G8" i="62"/>
  <c r="H8" i="62" s="1"/>
  <c r="I9" i="59"/>
  <c r="G8" i="59"/>
  <c r="H8" i="59" s="1"/>
  <c r="G8" i="57"/>
  <c r="H8" i="57" s="1"/>
  <c r="I9" i="57"/>
  <c r="G8" i="54"/>
  <c r="H8" i="54" s="1"/>
  <c r="I9" i="54"/>
  <c r="G8" i="60"/>
  <c r="H8" i="60" s="1"/>
  <c r="I9" i="60"/>
  <c r="I9" i="58"/>
  <c r="G8" i="58"/>
  <c r="H8" i="58" s="1"/>
  <c r="G8" i="53"/>
  <c r="H8" i="53" s="1"/>
  <c r="I9" i="53"/>
  <c r="I9" i="56"/>
  <c r="G8" i="56"/>
  <c r="H8" i="56" s="1"/>
  <c r="I9" i="55"/>
  <c r="G8" i="55"/>
  <c r="H8" i="55" s="1"/>
  <c r="I9" i="51"/>
  <c r="G8" i="51"/>
  <c r="H8" i="51" s="1"/>
  <c r="G8" i="49"/>
  <c r="H8" i="49" s="1"/>
  <c r="I9" i="49"/>
  <c r="G8" i="50"/>
  <c r="H8" i="50" s="1"/>
  <c r="I9" i="50"/>
  <c r="G8" i="52"/>
  <c r="H8" i="52" s="1"/>
  <c r="I9" i="52"/>
  <c r="G8" i="48"/>
  <c r="H8" i="48" s="1"/>
  <c r="I9" i="48"/>
  <c r="I9" i="47"/>
  <c r="G8" i="47"/>
  <c r="H8" i="47" s="1"/>
  <c r="G8" i="46"/>
  <c r="H8" i="46" s="1"/>
  <c r="I9" i="46"/>
  <c r="K12" i="1"/>
  <c r="L12" i="1" s="1"/>
  <c r="I10" i="61" l="1"/>
  <c r="G9" i="61"/>
  <c r="H9" i="61" s="1"/>
  <c r="G9" i="65"/>
  <c r="H9" i="65" s="1"/>
  <c r="I10" i="65"/>
  <c r="I10" i="63"/>
  <c r="G9" i="63"/>
  <c r="H9" i="63" s="1"/>
  <c r="I10" i="62"/>
  <c r="G9" i="62"/>
  <c r="H9" i="62" s="1"/>
  <c r="I10" i="64"/>
  <c r="G9" i="64"/>
  <c r="H9" i="64" s="1"/>
  <c r="G9" i="53"/>
  <c r="H9" i="53" s="1"/>
  <c r="I10" i="53"/>
  <c r="G9" i="60"/>
  <c r="H9" i="60" s="1"/>
  <c r="I10" i="60"/>
  <c r="G9" i="57"/>
  <c r="H9" i="57" s="1"/>
  <c r="I10" i="57"/>
  <c r="I10" i="55"/>
  <c r="G9" i="55"/>
  <c r="H9" i="55" s="1"/>
  <c r="G9" i="54"/>
  <c r="H9" i="54" s="1"/>
  <c r="I10" i="54"/>
  <c r="I10" i="56"/>
  <c r="G9" i="56"/>
  <c r="H9" i="56" s="1"/>
  <c r="I10" i="58"/>
  <c r="G9" i="58"/>
  <c r="H9" i="58" s="1"/>
  <c r="G9" i="59"/>
  <c r="H9" i="59" s="1"/>
  <c r="I10" i="59"/>
  <c r="G9" i="52"/>
  <c r="H9" i="52" s="1"/>
  <c r="I10" i="52"/>
  <c r="G9" i="49"/>
  <c r="H9" i="49" s="1"/>
  <c r="I10" i="49"/>
  <c r="G9" i="50"/>
  <c r="H9" i="50" s="1"/>
  <c r="I10" i="50"/>
  <c r="I10" i="51"/>
  <c r="G9" i="51"/>
  <c r="H9" i="51" s="1"/>
  <c r="I10" i="47"/>
  <c r="G9" i="47"/>
  <c r="H9" i="47" s="1"/>
  <c r="G9" i="48"/>
  <c r="H9" i="48" s="1"/>
  <c r="I10" i="48"/>
  <c r="G9" i="46"/>
  <c r="H9" i="46" s="1"/>
  <c r="I10" i="46"/>
  <c r="K13" i="1"/>
  <c r="L13" i="1" s="1"/>
  <c r="G10" i="62" l="1"/>
  <c r="H10" i="62" s="1"/>
  <c r="I11" i="62"/>
  <c r="G10" i="65"/>
  <c r="H10" i="65" s="1"/>
  <c r="I11" i="65"/>
  <c r="I11" i="64"/>
  <c r="G10" i="64"/>
  <c r="H10" i="64" s="1"/>
  <c r="G10" i="63"/>
  <c r="H10" i="63" s="1"/>
  <c r="I11" i="63"/>
  <c r="I11" i="61"/>
  <c r="G10" i="61"/>
  <c r="H10" i="61" s="1"/>
  <c r="I11" i="56"/>
  <c r="G10" i="56"/>
  <c r="H10" i="56" s="1"/>
  <c r="I11" i="55"/>
  <c r="G10" i="55"/>
  <c r="H10" i="55" s="1"/>
  <c r="G10" i="60"/>
  <c r="H10" i="60" s="1"/>
  <c r="I11" i="60"/>
  <c r="G10" i="54"/>
  <c r="H10" i="54" s="1"/>
  <c r="I11" i="54"/>
  <c r="I11" i="57"/>
  <c r="G10" i="57"/>
  <c r="H10" i="57" s="1"/>
  <c r="G10" i="53"/>
  <c r="H10" i="53" s="1"/>
  <c r="I11" i="53"/>
  <c r="G10" i="59"/>
  <c r="H10" i="59" s="1"/>
  <c r="I11" i="59"/>
  <c r="I11" i="58"/>
  <c r="G10" i="58"/>
  <c r="H10" i="58" s="1"/>
  <c r="G10" i="49"/>
  <c r="H10" i="49" s="1"/>
  <c r="I11" i="49"/>
  <c r="G10" i="51"/>
  <c r="H10" i="51" s="1"/>
  <c r="I11" i="51"/>
  <c r="G10" i="50"/>
  <c r="H10" i="50" s="1"/>
  <c r="I11" i="50"/>
  <c r="G10" i="52"/>
  <c r="H10" i="52" s="1"/>
  <c r="I11" i="52"/>
  <c r="G10" i="48"/>
  <c r="H10" i="48" s="1"/>
  <c r="I11" i="48"/>
  <c r="I11" i="47"/>
  <c r="G10" i="47"/>
  <c r="H10" i="47" s="1"/>
  <c r="G10" i="46"/>
  <c r="H10" i="46" s="1"/>
  <c r="I11" i="46"/>
  <c r="K14" i="1"/>
  <c r="L14" i="1" s="1"/>
  <c r="G11" i="63" l="1"/>
  <c r="H11" i="63" s="1"/>
  <c r="I12" i="63"/>
  <c r="G11" i="65"/>
  <c r="H11" i="65" s="1"/>
  <c r="I12" i="65"/>
  <c r="G11" i="62"/>
  <c r="H11" i="62" s="1"/>
  <c r="I12" i="62"/>
  <c r="I12" i="61"/>
  <c r="G11" i="61"/>
  <c r="H11" i="61" s="1"/>
  <c r="G11" i="64"/>
  <c r="H11" i="64" s="1"/>
  <c r="I12" i="64"/>
  <c r="I12" i="53"/>
  <c r="G11" i="53"/>
  <c r="H11" i="53" s="1"/>
  <c r="I12" i="58"/>
  <c r="G11" i="58"/>
  <c r="H11" i="58" s="1"/>
  <c r="I12" i="55"/>
  <c r="G11" i="55"/>
  <c r="H11" i="55" s="1"/>
  <c r="G11" i="60"/>
  <c r="H11" i="60" s="1"/>
  <c r="I12" i="60"/>
  <c r="I12" i="54"/>
  <c r="G11" i="54"/>
  <c r="H11" i="54" s="1"/>
  <c r="I12" i="59"/>
  <c r="G11" i="59"/>
  <c r="H11" i="59" s="1"/>
  <c r="I12" i="57"/>
  <c r="G11" i="57"/>
  <c r="H11" i="57" s="1"/>
  <c r="G11" i="56"/>
  <c r="H11" i="56" s="1"/>
  <c r="I12" i="56"/>
  <c r="G11" i="51"/>
  <c r="H11" i="51" s="1"/>
  <c r="I12" i="51"/>
  <c r="G11" i="52"/>
  <c r="H11" i="52" s="1"/>
  <c r="I12" i="52"/>
  <c r="I12" i="50"/>
  <c r="G11" i="50"/>
  <c r="H11" i="50" s="1"/>
  <c r="G11" i="49"/>
  <c r="H11" i="49" s="1"/>
  <c r="I12" i="49"/>
  <c r="I12" i="47"/>
  <c r="G11" i="47"/>
  <c r="H11" i="47" s="1"/>
  <c r="G11" i="48"/>
  <c r="H11" i="48" s="1"/>
  <c r="I12" i="48"/>
  <c r="G11" i="46"/>
  <c r="H11" i="46" s="1"/>
  <c r="I12" i="46"/>
  <c r="K15" i="1"/>
  <c r="L15" i="1" s="1"/>
  <c r="I13" i="61" l="1"/>
  <c r="G12" i="61"/>
  <c r="H12" i="61" s="1"/>
  <c r="I13" i="65"/>
  <c r="G12" i="65"/>
  <c r="H12" i="65" s="1"/>
  <c r="I13" i="64"/>
  <c r="G12" i="64"/>
  <c r="H12" i="64" s="1"/>
  <c r="I13" i="62"/>
  <c r="G12" i="62"/>
  <c r="H12" i="62" s="1"/>
  <c r="I13" i="63"/>
  <c r="G12" i="63"/>
  <c r="H12" i="63" s="1"/>
  <c r="I13" i="56"/>
  <c r="G12" i="56"/>
  <c r="H12" i="56" s="1"/>
  <c r="I13" i="60"/>
  <c r="G12" i="60"/>
  <c r="H12" i="60" s="1"/>
  <c r="I13" i="59"/>
  <c r="G12" i="59"/>
  <c r="H12" i="59" s="1"/>
  <c r="I13" i="58"/>
  <c r="G12" i="58"/>
  <c r="H12" i="58" s="1"/>
  <c r="G12" i="57"/>
  <c r="H12" i="57" s="1"/>
  <c r="I13" i="57"/>
  <c r="G12" i="54"/>
  <c r="H12" i="54" s="1"/>
  <c r="I13" i="54"/>
  <c r="I13" i="55"/>
  <c r="G12" i="55"/>
  <c r="H12" i="55" s="1"/>
  <c r="I13" i="53"/>
  <c r="G12" i="53"/>
  <c r="H12" i="53" s="1"/>
  <c r="I13" i="49"/>
  <c r="G12" i="49"/>
  <c r="H12" i="49" s="1"/>
  <c r="I13" i="52"/>
  <c r="G12" i="52"/>
  <c r="H12" i="52" s="1"/>
  <c r="I13" i="51"/>
  <c r="G12" i="51"/>
  <c r="H12" i="51" s="1"/>
  <c r="G12" i="50"/>
  <c r="H12" i="50" s="1"/>
  <c r="I13" i="50"/>
  <c r="I13" i="48"/>
  <c r="G12" i="48"/>
  <c r="H12" i="48" s="1"/>
  <c r="I13" i="47"/>
  <c r="G12" i="47"/>
  <c r="H12" i="47" s="1"/>
  <c r="I13" i="46"/>
  <c r="G12" i="46"/>
  <c r="H12" i="46" s="1"/>
  <c r="G6" i="1"/>
  <c r="I14" i="62" l="1"/>
  <c r="G13" i="62"/>
  <c r="H13" i="62" s="1"/>
  <c r="I14" i="65"/>
  <c r="G13" i="65"/>
  <c r="H13" i="65" s="1"/>
  <c r="I14" i="63"/>
  <c r="G13" i="63"/>
  <c r="H13" i="63" s="1"/>
  <c r="G13" i="64"/>
  <c r="H13" i="64" s="1"/>
  <c r="I14" i="64"/>
  <c r="I14" i="61"/>
  <c r="G13" i="61"/>
  <c r="H13" i="61" s="1"/>
  <c r="G13" i="54"/>
  <c r="H13" i="54" s="1"/>
  <c r="I14" i="54"/>
  <c r="I14" i="53"/>
  <c r="G13" i="53"/>
  <c r="H13" i="53" s="1"/>
  <c r="G13" i="58"/>
  <c r="H13" i="58" s="1"/>
  <c r="I14" i="58"/>
  <c r="I14" i="60"/>
  <c r="G13" i="60"/>
  <c r="H13" i="60" s="1"/>
  <c r="I14" i="57"/>
  <c r="G13" i="57"/>
  <c r="H13" i="57" s="1"/>
  <c r="G13" i="55"/>
  <c r="H13" i="55" s="1"/>
  <c r="I14" i="55"/>
  <c r="I14" i="59"/>
  <c r="G13" i="59"/>
  <c r="H13" i="59" s="1"/>
  <c r="I14" i="56"/>
  <c r="G13" i="56"/>
  <c r="H13" i="56" s="1"/>
  <c r="I14" i="52"/>
  <c r="G13" i="52"/>
  <c r="H13" i="52" s="1"/>
  <c r="G13" i="50"/>
  <c r="H13" i="50" s="1"/>
  <c r="I14" i="50"/>
  <c r="I14" i="51"/>
  <c r="G13" i="51"/>
  <c r="H13" i="51" s="1"/>
  <c r="I14" i="49"/>
  <c r="G13" i="49"/>
  <c r="H13" i="49" s="1"/>
  <c r="I14" i="47"/>
  <c r="G13" i="47"/>
  <c r="H13" i="47" s="1"/>
  <c r="I14" i="48"/>
  <c r="G13" i="48"/>
  <c r="H13" i="48" s="1"/>
  <c r="I14" i="46"/>
  <c r="G13" i="46"/>
  <c r="H13" i="46" s="1"/>
  <c r="H6" i="1"/>
  <c r="G7" i="1"/>
  <c r="I15" i="64" l="1"/>
  <c r="G14" i="64"/>
  <c r="H14" i="64" s="1"/>
  <c r="I15" i="65"/>
  <c r="G14" i="65"/>
  <c r="H14" i="65" s="1"/>
  <c r="G14" i="61"/>
  <c r="H14" i="61" s="1"/>
  <c r="I15" i="61"/>
  <c r="G15" i="61" s="1"/>
  <c r="H15" i="61" s="1"/>
  <c r="I15" i="63"/>
  <c r="G14" i="63"/>
  <c r="H14" i="63" s="1"/>
  <c r="I15" i="62"/>
  <c r="G14" i="62"/>
  <c r="H14" i="62" s="1"/>
  <c r="G14" i="55"/>
  <c r="H14" i="55" s="1"/>
  <c r="I15" i="55"/>
  <c r="G15" i="55" s="1"/>
  <c r="H15" i="55" s="1"/>
  <c r="I15" i="56"/>
  <c r="G14" i="56"/>
  <c r="H14" i="56" s="1"/>
  <c r="I15" i="60"/>
  <c r="G14" i="60"/>
  <c r="H14" i="60" s="1"/>
  <c r="I15" i="53"/>
  <c r="G14" i="53"/>
  <c r="H14" i="53" s="1"/>
  <c r="G14" i="58"/>
  <c r="H14" i="58" s="1"/>
  <c r="I15" i="58"/>
  <c r="G15" i="58" s="1"/>
  <c r="H15" i="58" s="1"/>
  <c r="G14" i="54"/>
  <c r="H14" i="54" s="1"/>
  <c r="I15" i="54"/>
  <c r="G15" i="54" s="1"/>
  <c r="H15" i="54" s="1"/>
  <c r="I15" i="59"/>
  <c r="G14" i="59"/>
  <c r="H14" i="59" s="1"/>
  <c r="G14" i="57"/>
  <c r="H14" i="57" s="1"/>
  <c r="I15" i="57"/>
  <c r="G15" i="57" s="1"/>
  <c r="H15" i="57" s="1"/>
  <c r="I15" i="49"/>
  <c r="G14" i="49"/>
  <c r="H14" i="49" s="1"/>
  <c r="G14" i="50"/>
  <c r="H14" i="50" s="1"/>
  <c r="I15" i="50"/>
  <c r="G15" i="50" s="1"/>
  <c r="H15" i="50" s="1"/>
  <c r="G14" i="51"/>
  <c r="H14" i="51" s="1"/>
  <c r="I15" i="51"/>
  <c r="I15" i="52"/>
  <c r="G14" i="52"/>
  <c r="H14" i="52" s="1"/>
  <c r="I15" i="48"/>
  <c r="G14" i="48"/>
  <c r="H14" i="48" s="1"/>
  <c r="I15" i="47"/>
  <c r="G14" i="47"/>
  <c r="H14" i="47" s="1"/>
  <c r="I15" i="46"/>
  <c r="G14" i="46"/>
  <c r="H14" i="46" s="1"/>
  <c r="H7" i="1"/>
  <c r="G8" i="1"/>
  <c r="G15" i="49" l="1"/>
  <c r="H15" i="49" s="1"/>
  <c r="G15" i="59"/>
  <c r="H15" i="59" s="1"/>
  <c r="G15" i="60"/>
  <c r="H15" i="60" s="1"/>
  <c r="G15" i="63"/>
  <c r="H15" i="63" s="1"/>
  <c r="G15" i="65"/>
  <c r="H15" i="65" s="1"/>
  <c r="G15" i="62"/>
  <c r="H15" i="62" s="1"/>
  <c r="G15" i="64"/>
  <c r="H15" i="64" s="1"/>
  <c r="G15" i="53"/>
  <c r="H15" i="53" s="1"/>
  <c r="G15" i="56"/>
  <c r="H15" i="56" s="1"/>
  <c r="G15" i="51"/>
  <c r="H15" i="51" s="1"/>
  <c r="G15" i="52"/>
  <c r="H15" i="52" s="1"/>
  <c r="G15" i="47"/>
  <c r="H15" i="47" s="1"/>
  <c r="G15" i="48"/>
  <c r="H15" i="48" s="1"/>
  <c r="G15" i="46"/>
  <c r="H15" i="46" s="1"/>
  <c r="H8" i="1"/>
  <c r="G9" i="1"/>
  <c r="H9" i="1" l="1"/>
  <c r="G10" i="1"/>
  <c r="H10" i="1" l="1"/>
  <c r="G11" i="1"/>
  <c r="H11" i="1" l="1"/>
  <c r="G12" i="1"/>
  <c r="H12" i="1" l="1"/>
  <c r="G13" i="1"/>
  <c r="H13" i="1" l="1"/>
  <c r="G14" i="1"/>
  <c r="H14" i="1" l="1"/>
  <c r="G15" i="1"/>
  <c r="H15" i="1" s="1"/>
</calcChain>
</file>

<file path=xl/sharedStrings.xml><?xml version="1.0" encoding="utf-8"?>
<sst xmlns="http://schemas.openxmlformats.org/spreadsheetml/2006/main" count="864" uniqueCount="28">
  <si>
    <t>GÜN</t>
  </si>
  <si>
    <t>AY</t>
  </si>
  <si>
    <t>YIL</t>
  </si>
  <si>
    <t>YILLAR</t>
  </si>
  <si>
    <t>DÖNEM</t>
  </si>
  <si>
    <t>KİŞİLİK</t>
  </si>
  <si>
    <t>SOSYAL BİLİNÇ</t>
  </si>
  <si>
    <t>KÜRESEL BİLİNÇLİLİK</t>
  </si>
  <si>
    <t>YAŞAM DÖNGÜSÜ</t>
  </si>
  <si>
    <t>DERS</t>
  </si>
  <si>
    <t>İÇSEL BENLİK</t>
  </si>
  <si>
    <t>İÇSEL ÇOCUK</t>
  </si>
  <si>
    <t>İNSANIN PİN KODU</t>
  </si>
  <si>
    <t>NOTLAR</t>
  </si>
  <si>
    <t>Cinsiyet:</t>
  </si>
  <si>
    <t>BİLGİ</t>
  </si>
  <si>
    <t>Analiz Tarihi:</t>
  </si>
  <si>
    <t>Adı Soyadı:</t>
  </si>
  <si>
    <t>RUH DUYGUSU</t>
  </si>
  <si>
    <t>GRUP PİN KODU</t>
  </si>
  <si>
    <t>TABLO</t>
  </si>
  <si>
    <t>SEÇİM</t>
  </si>
  <si>
    <t>Dönemi</t>
  </si>
  <si>
    <r>
      <t xml:space="preserve">PİN KODU TABLOSU </t>
    </r>
    <r>
      <rPr>
        <b/>
        <sz val="10"/>
        <color theme="1"/>
        <rFont val="Calibri"/>
        <family val="2"/>
        <charset val="162"/>
        <scheme val="minor"/>
      </rPr>
      <t>(rev.20160128)</t>
    </r>
  </si>
  <si>
    <t>Adı Soyadı</t>
  </si>
  <si>
    <t>Doğum Tarihi</t>
  </si>
  <si>
    <t>Grup Detaylar</t>
  </si>
  <si>
    <t>Doğum Tarihi: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</si>
</sst>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0;\-0;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b/>
      <sz val="22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8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39997558519241921"/>
        <bgColor indexed="64"/>
      </patternFill>
    </fill>
  </fills>
  <borders count="69">
    <border>
      <left/>
      <right/>
      <top/>
      <bottom/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theme="3"/>
      </left>
      <right style="thin">
        <color indexed="64"/>
      </right>
      <top style="thick">
        <color theme="3"/>
      </top>
      <bottom style="thin">
        <color indexed="64"/>
      </bottom>
      <diagonal/>
    </border>
    <border>
      <left style="thick">
        <color theme="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3"/>
      </left>
      <right style="dotted">
        <color theme="3"/>
      </right>
      <top style="hair">
        <color theme="3"/>
      </top>
      <bottom style="hair">
        <color theme="3"/>
      </bottom>
      <diagonal/>
    </border>
    <border>
      <left style="dotted">
        <color theme="3"/>
      </left>
      <right style="thick">
        <color theme="3"/>
      </right>
      <top style="hair">
        <color theme="3"/>
      </top>
      <bottom style="hair">
        <color theme="3"/>
      </bottom>
      <diagonal/>
    </border>
    <border>
      <left style="thick">
        <color theme="3"/>
      </left>
      <right style="dotted">
        <color theme="3"/>
      </right>
      <top style="hair">
        <color theme="3"/>
      </top>
      <bottom style="thick">
        <color theme="3"/>
      </bottom>
      <diagonal/>
    </border>
    <border>
      <left style="dotted">
        <color theme="3"/>
      </left>
      <right style="thick">
        <color theme="3"/>
      </right>
      <top style="hair">
        <color theme="3"/>
      </top>
      <bottom style="thick">
        <color theme="3"/>
      </bottom>
      <diagonal/>
    </border>
    <border>
      <left style="dotted">
        <color theme="3"/>
      </left>
      <right/>
      <top style="hair">
        <color theme="3"/>
      </top>
      <bottom style="hair">
        <color theme="3"/>
      </bottom>
      <diagonal/>
    </border>
    <border>
      <left style="dotted">
        <color theme="3"/>
      </left>
      <right/>
      <top style="hair">
        <color theme="3"/>
      </top>
      <bottom style="thick">
        <color theme="3"/>
      </bottom>
      <diagonal/>
    </border>
    <border>
      <left style="thin">
        <color indexed="64"/>
      </left>
      <right style="dotted">
        <color theme="3"/>
      </right>
      <top style="hair">
        <color theme="3"/>
      </top>
      <bottom style="hair">
        <color theme="3"/>
      </bottom>
      <diagonal/>
    </border>
    <border>
      <left style="thin">
        <color indexed="64"/>
      </left>
      <right style="dotted">
        <color theme="3"/>
      </right>
      <top style="hair">
        <color theme="3"/>
      </top>
      <bottom style="thick">
        <color theme="3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thick">
        <color theme="3"/>
      </bottom>
      <diagonal/>
    </border>
    <border>
      <left style="thin">
        <color indexed="64"/>
      </left>
      <right/>
      <top/>
      <bottom style="thick">
        <color theme="3"/>
      </bottom>
      <diagonal/>
    </border>
    <border>
      <left/>
      <right style="thin">
        <color indexed="64"/>
      </right>
      <top/>
      <bottom style="thick">
        <color theme="3"/>
      </bottom>
      <diagonal/>
    </border>
    <border>
      <left style="thick">
        <color theme="3"/>
      </left>
      <right/>
      <top/>
      <bottom style="thin">
        <color indexed="64"/>
      </bottom>
      <diagonal/>
    </border>
    <border>
      <left/>
      <right style="thick">
        <color theme="3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ck">
        <color theme="3"/>
      </top>
      <bottom/>
      <diagonal/>
    </border>
    <border>
      <left style="thick">
        <color theme="3"/>
      </left>
      <right style="dotted">
        <color theme="3"/>
      </right>
      <top/>
      <bottom style="hair">
        <color theme="3"/>
      </bottom>
      <diagonal/>
    </border>
    <border>
      <left/>
      <right/>
      <top/>
      <bottom style="hair">
        <color theme="3"/>
      </bottom>
      <diagonal/>
    </border>
    <border>
      <left style="thin">
        <color indexed="64"/>
      </left>
      <right style="dotted">
        <color theme="3"/>
      </right>
      <top/>
      <bottom style="hair">
        <color theme="3"/>
      </bottom>
      <diagonal/>
    </border>
    <border>
      <left style="dotted">
        <color theme="3"/>
      </left>
      <right/>
      <top/>
      <bottom style="hair">
        <color theme="3"/>
      </bottom>
      <diagonal/>
    </border>
    <border>
      <left style="dotted">
        <color theme="3"/>
      </left>
      <right style="thick">
        <color theme="3"/>
      </right>
      <top/>
      <bottom style="hair">
        <color theme="3"/>
      </bottom>
      <diagonal/>
    </border>
    <border>
      <left style="thin">
        <color indexed="64"/>
      </left>
      <right style="thin">
        <color indexed="64"/>
      </right>
      <top/>
      <bottom style="thick">
        <color theme="3"/>
      </bottom>
      <diagonal/>
    </border>
    <border>
      <left style="thin">
        <color indexed="64"/>
      </left>
      <right/>
      <top style="thick">
        <color theme="3"/>
      </top>
      <bottom style="thin">
        <color indexed="64"/>
      </bottom>
      <diagonal/>
    </border>
    <border>
      <left/>
      <right style="thick">
        <color theme="3"/>
      </right>
      <top style="thick">
        <color theme="3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3"/>
      </left>
      <right/>
      <top style="thin">
        <color indexed="64"/>
      </top>
      <bottom/>
      <diagonal/>
    </border>
    <border>
      <left/>
      <right style="thick">
        <color theme="3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3" borderId="0" xfId="0" applyFill="1" applyProtection="1"/>
    <xf numFmtId="1" fontId="3" fillId="0" borderId="0" xfId="0" applyNumberFormat="1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/>
    <xf numFmtId="0" fontId="0" fillId="3" borderId="0" xfId="0" applyFill="1" applyAlignment="1" applyProtection="1">
      <alignment horizontal="center"/>
    </xf>
    <xf numFmtId="14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center" vertical="center"/>
    </xf>
    <xf numFmtId="0" fontId="5" fillId="0" borderId="8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5" fillId="0" borderId="9" xfId="0" applyFont="1" applyBorder="1" applyAlignment="1" applyProtection="1">
      <alignment horizontal="center"/>
    </xf>
    <xf numFmtId="0" fontId="5" fillId="0" borderId="0" xfId="0" applyFont="1" applyBorder="1" applyProtection="1"/>
    <xf numFmtId="0" fontId="5" fillId="0" borderId="10" xfId="0" applyFont="1" applyBorder="1" applyProtection="1"/>
    <xf numFmtId="0" fontId="5" fillId="0" borderId="11" xfId="0" applyFont="1" applyBorder="1" applyProtection="1"/>
    <xf numFmtId="0" fontId="5" fillId="0" borderId="12" xfId="0" applyFont="1" applyBorder="1" applyProtection="1"/>
    <xf numFmtId="0" fontId="2" fillId="2" borderId="1" xfId="0" applyFont="1" applyFill="1" applyBorder="1" applyAlignment="1" applyProtection="1">
      <alignment horizontal="center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vertical="center" wrapText="1"/>
    </xf>
    <xf numFmtId="0" fontId="5" fillId="0" borderId="22" xfId="0" applyFont="1" applyBorder="1" applyAlignment="1" applyProtection="1">
      <alignment vertical="top" wrapText="1"/>
    </xf>
    <xf numFmtId="0" fontId="5" fillId="0" borderId="0" xfId="0" applyFont="1" applyBorder="1" applyAlignment="1" applyProtection="1">
      <alignment vertical="center"/>
    </xf>
    <xf numFmtId="0" fontId="5" fillId="0" borderId="36" xfId="0" applyFont="1" applyBorder="1" applyAlignment="1" applyProtection="1">
      <alignment horizontal="center" vertical="center"/>
    </xf>
    <xf numFmtId="0" fontId="1" fillId="0" borderId="55" xfId="0" applyFont="1" applyFill="1" applyBorder="1" applyAlignment="1" applyProtection="1">
      <alignment horizontal="center" vertical="center"/>
    </xf>
    <xf numFmtId="0" fontId="1" fillId="0" borderId="56" xfId="0" applyFont="1" applyFill="1" applyBorder="1" applyAlignment="1" applyProtection="1">
      <alignment horizontal="center" vertical="center"/>
    </xf>
    <xf numFmtId="0" fontId="1" fillId="0" borderId="53" xfId="0" applyFont="1" applyFill="1" applyBorder="1" applyAlignment="1" applyProtection="1">
      <alignment horizontal="center" vertical="center"/>
    </xf>
    <xf numFmtId="0" fontId="1" fillId="0" borderId="57" xfId="0" applyFont="1" applyFill="1" applyBorder="1" applyAlignment="1" applyProtection="1">
      <alignment horizontal="center" vertical="center"/>
    </xf>
    <xf numFmtId="0" fontId="1" fillId="0" borderId="58" xfId="0" applyFont="1" applyFill="1" applyBorder="1" applyAlignment="1" applyProtection="1">
      <alignment horizontal="center" vertical="center"/>
    </xf>
    <xf numFmtId="0" fontId="1" fillId="0" borderId="59" xfId="0" applyFont="1" applyFill="1" applyBorder="1" applyAlignment="1" applyProtection="1">
      <alignment horizontal="center" vertical="center"/>
    </xf>
    <xf numFmtId="0" fontId="1" fillId="0" borderId="27" xfId="0" applyFont="1" applyFill="1" applyBorder="1" applyAlignment="1" applyProtection="1">
      <alignment horizontal="center" vertical="center"/>
    </xf>
    <xf numFmtId="0" fontId="1" fillId="0" borderId="46" xfId="0" applyFont="1" applyFill="1" applyBorder="1" applyAlignment="1" applyProtection="1">
      <alignment horizontal="center" vertical="center"/>
    </xf>
    <xf numFmtId="0" fontId="1" fillId="0" borderId="33" xfId="0" applyFont="1" applyFill="1" applyBorder="1" applyAlignment="1" applyProtection="1">
      <alignment horizontal="center" vertical="center"/>
    </xf>
    <xf numFmtId="0" fontId="1" fillId="0" borderId="31" xfId="0" applyFont="1" applyFill="1" applyBorder="1" applyAlignment="1" applyProtection="1">
      <alignment horizontal="center" vertical="center"/>
    </xf>
    <xf numFmtId="0" fontId="1" fillId="0" borderId="28" xfId="0" applyFont="1" applyFill="1" applyBorder="1" applyAlignment="1" applyProtection="1">
      <alignment horizontal="center" vertical="center"/>
    </xf>
    <xf numFmtId="0" fontId="1" fillId="0" borderId="29" xfId="0" applyFont="1" applyFill="1" applyBorder="1" applyAlignment="1" applyProtection="1">
      <alignment horizontal="center" vertical="center"/>
    </xf>
    <xf numFmtId="0" fontId="1" fillId="0" borderId="47" xfId="0" applyFont="1" applyFill="1" applyBorder="1" applyAlignment="1" applyProtection="1">
      <alignment horizontal="center" vertical="center"/>
    </xf>
    <xf numFmtId="0" fontId="1" fillId="0" borderId="60" xfId="0" applyFont="1" applyFill="1" applyBorder="1" applyAlignment="1" applyProtection="1">
      <alignment horizontal="center" vertical="center"/>
    </xf>
    <xf numFmtId="0" fontId="1" fillId="0" borderId="34" xfId="0" applyFont="1" applyFill="1" applyBorder="1" applyAlignment="1" applyProtection="1">
      <alignment horizontal="center" vertical="center"/>
    </xf>
    <xf numFmtId="0" fontId="1" fillId="0" borderId="32" xfId="0" applyFont="1" applyFill="1" applyBorder="1" applyAlignment="1" applyProtection="1">
      <alignment horizontal="center" vertical="center"/>
    </xf>
    <xf numFmtId="0" fontId="1" fillId="0" borderId="30" xfId="0" applyFont="1" applyFill="1" applyBorder="1" applyAlignment="1" applyProtection="1">
      <alignment horizontal="center" vertical="center"/>
    </xf>
    <xf numFmtId="0" fontId="4" fillId="2" borderId="50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5" fillId="2" borderId="25" xfId="0" applyFont="1" applyFill="1" applyBorder="1" applyAlignment="1" applyProtection="1">
      <alignment horizontal="center" vertical="center"/>
    </xf>
    <xf numFmtId="0" fontId="4" fillId="2" borderId="19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51" xfId="0" applyFont="1" applyFill="1" applyBorder="1" applyAlignment="1" applyProtection="1">
      <alignment horizontal="center" vertical="center"/>
    </xf>
    <xf numFmtId="0" fontId="11" fillId="0" borderId="20" xfId="0" applyFont="1" applyBorder="1" applyAlignment="1" applyProtection="1">
      <alignment horizontal="center" vertical="center"/>
    </xf>
    <xf numFmtId="165" fontId="0" fillId="0" borderId="0" xfId="0" applyNumberFormat="1" applyBorder="1" applyAlignment="1" applyProtection="1">
      <alignment horizontal="center" vertical="center"/>
    </xf>
    <xf numFmtId="0" fontId="5" fillId="0" borderId="36" xfId="0" applyFont="1" applyBorder="1" applyAlignment="1" applyProtection="1">
      <alignment vertical="center"/>
    </xf>
    <xf numFmtId="0" fontId="5" fillId="0" borderId="43" xfId="0" applyFont="1" applyBorder="1" applyAlignment="1" applyProtection="1">
      <alignment vertical="center"/>
    </xf>
    <xf numFmtId="165" fontId="0" fillId="0" borderId="16" xfId="0" applyNumberForma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vertical="center" wrapText="1"/>
    </xf>
    <xf numFmtId="165" fontId="14" fillId="0" borderId="16" xfId="0" applyNumberFormat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5" fillId="0" borderId="0" xfId="0" applyFont="1" applyBorder="1" applyAlignment="1" applyProtection="1">
      <alignment vertical="center" wrapText="1"/>
    </xf>
    <xf numFmtId="0" fontId="0" fillId="0" borderId="0" xfId="0" applyBorder="1" applyProtection="1"/>
    <xf numFmtId="0" fontId="0" fillId="0" borderId="0" xfId="0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43" xfId="0" applyBorder="1" applyProtection="1"/>
    <xf numFmtId="0" fontId="0" fillId="0" borderId="36" xfId="0" applyBorder="1" applyAlignment="1" applyProtection="1">
      <alignment vertical="top"/>
    </xf>
    <xf numFmtId="0" fontId="0" fillId="0" borderId="43" xfId="0" applyBorder="1" applyAlignment="1" applyProtection="1">
      <alignment vertical="top"/>
    </xf>
    <xf numFmtId="0" fontId="0" fillId="0" borderId="38" xfId="0" applyBorder="1" applyProtection="1"/>
    <xf numFmtId="0" fontId="0" fillId="0" borderId="39" xfId="0" applyBorder="1" applyProtection="1"/>
    <xf numFmtId="0" fontId="0" fillId="0" borderId="42" xfId="0" applyBorder="1" applyProtection="1"/>
    <xf numFmtId="0" fontId="5" fillId="0" borderId="36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43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36" xfId="0" applyFont="1" applyFill="1" applyBorder="1" applyAlignment="1" applyProtection="1">
      <alignment vertical="center"/>
    </xf>
    <xf numFmtId="0" fontId="5" fillId="0" borderId="43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vertical="center" wrapText="1"/>
    </xf>
    <xf numFmtId="0" fontId="4" fillId="0" borderId="0" xfId="0" applyFont="1" applyFill="1" applyBorder="1" applyAlignment="1" applyProtection="1">
      <alignment vertical="center" textRotation="90" wrapText="1"/>
    </xf>
    <xf numFmtId="0" fontId="13" fillId="0" borderId="52" xfId="0" applyFont="1" applyFill="1" applyBorder="1" applyAlignment="1" applyProtection="1">
      <alignment horizontal="center" vertical="center"/>
    </xf>
    <xf numFmtId="0" fontId="13" fillId="0" borderId="25" xfId="0" applyFont="1" applyFill="1" applyBorder="1" applyAlignment="1" applyProtection="1">
      <alignment horizontal="center" vertical="center"/>
    </xf>
    <xf numFmtId="0" fontId="13" fillId="0" borderId="63" xfId="0" applyFont="1" applyFill="1" applyBorder="1" applyAlignment="1" applyProtection="1">
      <alignment horizontal="center" vertical="center"/>
    </xf>
    <xf numFmtId="0" fontId="13" fillId="8" borderId="37" xfId="0" applyFont="1" applyFill="1" applyBorder="1" applyAlignment="1" applyProtection="1">
      <alignment horizontal="center" vertical="center"/>
    </xf>
    <xf numFmtId="0" fontId="13" fillId="8" borderId="24" xfId="0" applyFont="1" applyFill="1" applyBorder="1" applyAlignment="1" applyProtection="1">
      <alignment horizontal="center" vertical="center"/>
    </xf>
    <xf numFmtId="0" fontId="13" fillId="8" borderId="40" xfId="0" applyFont="1" applyFill="1" applyBorder="1" applyAlignment="1" applyProtection="1">
      <alignment horizontal="center" vertical="center"/>
    </xf>
    <xf numFmtId="0" fontId="4" fillId="2" borderId="35" xfId="0" applyFont="1" applyFill="1" applyBorder="1" applyAlignment="1" applyProtection="1">
      <alignment horizontal="center" vertical="center" wrapText="1"/>
    </xf>
    <xf numFmtId="0" fontId="4" fillId="2" borderId="20" xfId="0" applyFont="1" applyFill="1" applyBorder="1" applyAlignment="1" applyProtection="1">
      <alignment horizontal="center" vertical="center" wrapText="1"/>
    </xf>
    <xf numFmtId="0" fontId="4" fillId="2" borderId="18" xfId="0" applyFont="1" applyFill="1" applyBorder="1" applyAlignment="1" applyProtection="1">
      <alignment horizontal="center" vertical="center" wrapText="1"/>
    </xf>
    <xf numFmtId="0" fontId="4" fillId="2" borderId="17" xfId="0" applyFont="1" applyFill="1" applyBorder="1" applyAlignment="1" applyProtection="1">
      <alignment horizontal="center" vertical="center" wrapText="1"/>
    </xf>
    <xf numFmtId="0" fontId="4" fillId="2" borderId="16" xfId="0" applyFont="1" applyFill="1" applyBorder="1" applyAlignment="1" applyProtection="1">
      <alignment horizontal="center" vertical="center" wrapText="1"/>
    </xf>
    <xf numFmtId="0" fontId="11" fillId="0" borderId="16" xfId="0" applyFont="1" applyFill="1" applyBorder="1" applyAlignment="1" applyProtection="1">
      <alignment horizontal="center" vertical="center"/>
    </xf>
    <xf numFmtId="0" fontId="4" fillId="2" borderId="41" xfId="0" applyFont="1" applyFill="1" applyBorder="1" applyAlignment="1" applyProtection="1">
      <alignment horizontal="center" vertical="center" wrapText="1"/>
    </xf>
    <xf numFmtId="0" fontId="15" fillId="6" borderId="16" xfId="0" applyFont="1" applyFill="1" applyBorder="1" applyAlignment="1" applyProtection="1">
      <alignment horizontal="center" vertical="center" textRotation="90" wrapText="1"/>
    </xf>
    <xf numFmtId="0" fontId="4" fillId="9" borderId="16" xfId="0" applyFont="1" applyFill="1" applyBorder="1" applyAlignment="1" applyProtection="1">
      <alignment horizontal="center" vertical="center"/>
    </xf>
    <xf numFmtId="0" fontId="4" fillId="9" borderId="16" xfId="0" applyFont="1" applyFill="1" applyBorder="1" applyAlignment="1" applyProtection="1">
      <alignment horizontal="left" vertical="center" wrapText="1"/>
    </xf>
    <xf numFmtId="0" fontId="14" fillId="0" borderId="16" xfId="0" applyFont="1" applyBorder="1" applyAlignment="1" applyProtection="1">
      <alignment horizontal="left" vertical="center" wrapText="1"/>
    </xf>
    <xf numFmtId="0" fontId="14" fillId="0" borderId="16" xfId="0" applyFont="1" applyBorder="1" applyAlignment="1" applyProtection="1">
      <alignment horizontal="center" vertical="center"/>
    </xf>
    <xf numFmtId="0" fontId="12" fillId="7" borderId="45" xfId="0" applyFont="1" applyFill="1" applyBorder="1" applyAlignment="1" applyProtection="1">
      <alignment horizontal="center" vertical="center"/>
    </xf>
    <xf numFmtId="0" fontId="12" fillId="7" borderId="0" xfId="0" applyFont="1" applyFill="1" applyBorder="1" applyAlignment="1" applyProtection="1">
      <alignment horizontal="center" vertical="center"/>
    </xf>
    <xf numFmtId="0" fontId="12" fillId="7" borderId="44" xfId="0" applyFont="1" applyFill="1" applyBorder="1" applyAlignment="1" applyProtection="1">
      <alignment horizontal="center" vertical="center"/>
    </xf>
    <xf numFmtId="0" fontId="2" fillId="7" borderId="3" xfId="0" applyFont="1" applyFill="1" applyBorder="1" applyAlignment="1" applyProtection="1">
      <alignment horizontal="center" vertical="center" wrapText="1"/>
    </xf>
    <xf numFmtId="0" fontId="2" fillId="7" borderId="5" xfId="0" applyFont="1" applyFill="1" applyBorder="1" applyAlignment="1" applyProtection="1">
      <alignment horizontal="center" vertical="center" wrapText="1"/>
    </xf>
    <xf numFmtId="0" fontId="2" fillId="7" borderId="7" xfId="0" applyFont="1" applyFill="1" applyBorder="1" applyAlignment="1" applyProtection="1">
      <alignment horizontal="center" vertical="center" wrapText="1"/>
    </xf>
    <xf numFmtId="0" fontId="2" fillId="7" borderId="2" xfId="0" applyFont="1" applyFill="1" applyBorder="1" applyAlignment="1" applyProtection="1">
      <alignment horizontal="center" vertical="center" wrapText="1"/>
    </xf>
    <xf numFmtId="0" fontId="2" fillId="7" borderId="4" xfId="0" applyFont="1" applyFill="1" applyBorder="1" applyAlignment="1" applyProtection="1">
      <alignment horizontal="center" vertical="center" wrapText="1"/>
    </xf>
    <xf numFmtId="0" fontId="2" fillId="7" borderId="6" xfId="0" applyFont="1" applyFill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164" fontId="0" fillId="0" borderId="16" xfId="0" applyNumberFormat="1" applyBorder="1" applyAlignment="1" applyProtection="1">
      <alignment horizontal="center" vertical="center" wrapText="1"/>
      <protection locked="0"/>
    </xf>
    <xf numFmtId="164" fontId="0" fillId="0" borderId="23" xfId="0" applyNumberFormat="1" applyBorder="1" applyAlignment="1" applyProtection="1">
      <alignment horizontal="center" vertical="center" wrapText="1"/>
      <protection locked="0"/>
    </xf>
    <xf numFmtId="0" fontId="11" fillId="0" borderId="48" xfId="0" applyFont="1" applyBorder="1" applyAlignment="1" applyProtection="1">
      <alignment horizontal="center" vertical="center"/>
    </xf>
    <xf numFmtId="0" fontId="11" fillId="0" borderId="11" xfId="0" applyFont="1" applyBorder="1" applyAlignment="1" applyProtection="1">
      <alignment horizontal="center" vertical="center"/>
    </xf>
    <xf numFmtId="0" fontId="11" fillId="0" borderId="49" xfId="0" applyFont="1" applyBorder="1" applyAlignment="1" applyProtection="1">
      <alignment horizontal="center" vertical="center"/>
    </xf>
    <xf numFmtId="0" fontId="2" fillId="2" borderId="17" xfId="0" applyFont="1" applyFill="1" applyBorder="1" applyAlignment="1" applyProtection="1">
      <alignment horizontal="center" vertical="center"/>
    </xf>
    <xf numFmtId="0" fontId="2" fillId="2" borderId="20" xfId="0" applyFont="1" applyFill="1" applyBorder="1" applyAlignment="1" applyProtection="1">
      <alignment horizontal="center" vertical="center"/>
    </xf>
    <xf numFmtId="0" fontId="2" fillId="2" borderId="18" xfId="0" applyFont="1" applyFill="1" applyBorder="1" applyAlignment="1" applyProtection="1">
      <alignment horizontal="center" vertical="center"/>
    </xf>
    <xf numFmtId="0" fontId="11" fillId="0" borderId="19" xfId="0" applyFont="1" applyBorder="1" applyAlignment="1" applyProtection="1">
      <alignment horizontal="center" vertical="center"/>
    </xf>
    <xf numFmtId="0" fontId="11" fillId="0" borderId="25" xfId="0" applyFont="1" applyBorder="1" applyAlignment="1" applyProtection="1">
      <alignment horizontal="center" vertical="center"/>
    </xf>
    <xf numFmtId="0" fontId="11" fillId="5" borderId="25" xfId="0" applyFont="1" applyFill="1" applyBorder="1" applyAlignment="1" applyProtection="1">
      <alignment horizontal="center" vertical="center"/>
    </xf>
    <xf numFmtId="0" fontId="11" fillId="5" borderId="26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0" fontId="10" fillId="2" borderId="15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8" fillId="2" borderId="54" xfId="0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center" vertical="center"/>
    </xf>
    <xf numFmtId="0" fontId="8" fillId="2" borderId="13" xfId="0" applyFont="1" applyFill="1" applyBorder="1" applyAlignment="1" applyProtection="1">
      <alignment horizontal="center" vertical="center"/>
    </xf>
    <xf numFmtId="0" fontId="8" fillId="2" borderId="15" xfId="0" applyFont="1" applyFill="1" applyBorder="1" applyAlignment="1" applyProtection="1">
      <alignment horizontal="center" vertical="center"/>
    </xf>
    <xf numFmtId="0" fontId="9" fillId="2" borderId="13" xfId="0" applyFont="1" applyFill="1" applyBorder="1" applyAlignment="1" applyProtection="1">
      <alignment horizontal="center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15" xfId="0" applyFont="1" applyFill="1" applyBorder="1" applyAlignment="1" applyProtection="1">
      <alignment horizontal="center" vertical="center"/>
    </xf>
    <xf numFmtId="0" fontId="2" fillId="2" borderId="37" xfId="0" applyFont="1" applyFill="1" applyBorder="1" applyAlignment="1" applyProtection="1">
      <alignment horizontal="center" vertical="center"/>
    </xf>
    <xf numFmtId="0" fontId="2" fillId="2" borderId="24" xfId="0" applyFont="1" applyFill="1" applyBorder="1" applyAlignment="1" applyProtection="1">
      <alignment horizontal="center" vertical="center"/>
    </xf>
    <xf numFmtId="0" fontId="2" fillId="2" borderId="40" xfId="0" applyFont="1" applyFill="1" applyBorder="1" applyAlignment="1" applyProtection="1">
      <alignment horizontal="center" vertical="center"/>
    </xf>
    <xf numFmtId="0" fontId="5" fillId="0" borderId="61" xfId="0" applyFont="1" applyBorder="1" applyAlignment="1" applyProtection="1">
      <alignment horizontal="center" vertical="center" wrapText="1"/>
    </xf>
    <xf numFmtId="0" fontId="5" fillId="0" borderId="62" xfId="0" applyFont="1" applyBorder="1" applyAlignment="1" applyProtection="1">
      <alignment horizontal="center" vertical="center" wrapText="1"/>
    </xf>
    <xf numFmtId="0" fontId="11" fillId="4" borderId="50" xfId="0" applyFont="1" applyFill="1" applyBorder="1" applyAlignment="1" applyProtection="1">
      <alignment horizontal="center" vertical="center"/>
    </xf>
    <xf numFmtId="0" fontId="11" fillId="4" borderId="25" xfId="0" applyFont="1" applyFill="1" applyBorder="1" applyAlignment="1" applyProtection="1">
      <alignment horizontal="center" vertical="center"/>
    </xf>
    <xf numFmtId="0" fontId="11" fillId="0" borderId="51" xfId="0" applyFont="1" applyBorder="1" applyAlignment="1" applyProtection="1">
      <alignment horizontal="center" vertical="center"/>
    </xf>
    <xf numFmtId="0" fontId="11" fillId="0" borderId="64" xfId="0" applyFont="1" applyFill="1" applyBorder="1" applyAlignment="1" applyProtection="1">
      <alignment horizontal="center" vertical="center"/>
    </xf>
    <xf numFmtId="0" fontId="11" fillId="0" borderId="65" xfId="0" applyFont="1" applyFill="1" applyBorder="1" applyAlignment="1" applyProtection="1">
      <alignment horizontal="center" vertical="center"/>
    </xf>
    <xf numFmtId="165" fontId="5" fillId="0" borderId="16" xfId="0" applyNumberFormat="1" applyFont="1" applyBorder="1" applyAlignment="1" applyProtection="1">
      <alignment horizontal="center" vertical="center"/>
    </xf>
    <xf numFmtId="0" fontId="5" fillId="0" borderId="67" xfId="0" applyFont="1" applyBorder="1" applyAlignment="1" applyProtection="1">
      <alignment horizontal="left" vertical="top" wrapText="1"/>
    </xf>
    <xf numFmtId="0" fontId="5" fillId="0" borderId="12" xfId="0" applyFont="1" applyBorder="1" applyAlignment="1" applyProtection="1">
      <alignment horizontal="left" vertical="top" wrapText="1"/>
    </xf>
    <xf numFmtId="0" fontId="5" fillId="0" borderId="66" xfId="0" applyFont="1" applyBorder="1" applyAlignment="1" applyProtection="1">
      <alignment horizontal="left" vertical="center" wrapText="1"/>
    </xf>
    <xf numFmtId="0" fontId="5" fillId="0" borderId="10" xfId="0" applyFont="1" applyBorder="1" applyAlignment="1" applyProtection="1">
      <alignment horizontal="left" vertical="center" wrapText="1"/>
    </xf>
    <xf numFmtId="0" fontId="5" fillId="0" borderId="68" xfId="0" applyFont="1" applyBorder="1" applyAlignment="1" applyProtection="1">
      <alignment horizontal="left" vertical="top" wrapText="1"/>
    </xf>
    <xf numFmtId="0" fontId="5" fillId="0" borderId="48" xfId="0" applyFont="1" applyBorder="1" applyAlignment="1" applyProtection="1">
      <alignment horizontal="left" vertical="top" wrapText="1"/>
    </xf>
  </cellXfs>
  <cellStyles count="1">
    <cellStyle name="Normal" xfId="0" builtinId="0"/>
  </cellStyles>
  <dxfs count="366"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rgb="FF00B050"/>
      </font>
      <fill>
        <patternFill patternType="solid">
          <bgColor theme="0" tint="-4.9989318521683403E-2"/>
        </patternFill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  <dxf>
      <fill>
        <patternFill>
          <bgColor rgb="FFFFFF00"/>
        </patternFill>
      </fill>
      <border>
        <left style="thin">
          <color rgb="FF262F13"/>
        </left>
        <right style="thin">
          <color rgb="FF262F13"/>
        </right>
        <top style="thin">
          <color rgb="FF262F13"/>
        </top>
        <bottom style="thin">
          <color rgb="FF262F13"/>
        </bottom>
      </border>
    </dxf>
    <dxf>
      <font>
        <color rgb="FFFFFF99"/>
      </font>
      <fill>
        <patternFill>
          <bgColor rgb="FFFFFF99"/>
        </patternFill>
      </fill>
    </dxf>
    <dxf>
      <font>
        <color rgb="FFB7DEE8"/>
      </font>
      <fill>
        <patternFill>
          <bgColor rgb="FFB7DEE8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A6008"/>
      </font>
      <fill>
        <patternFill>
          <bgColor rgb="FFCA6008"/>
        </patternFill>
      </fill>
    </dxf>
    <dxf>
      <font>
        <color theme="0"/>
      </font>
      <fill>
        <patternFill patternType="gray125"/>
      </fill>
    </dxf>
    <dxf>
      <font>
        <b/>
        <i val="0"/>
        <color auto="1"/>
      </font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A6008"/>
        </patternFill>
      </fill>
    </dxf>
    <dxf>
      <fill>
        <patternFill>
          <bgColor rgb="FFCA6008"/>
        </patternFill>
      </fill>
    </dxf>
    <dxf>
      <font>
        <b/>
        <i val="0"/>
        <color auto="1"/>
      </font>
      <fill>
        <patternFill patternType="solid">
          <fgColor auto="1"/>
          <bgColor theme="0" tint="-0.14996795556505021"/>
        </patternFill>
      </fill>
    </dxf>
  </dxfs>
  <tableStyles count="0" defaultTableStyle="TableStyleMedium2" defaultPivotStyle="PivotStyleMedium9"/>
  <colors>
    <mruColors>
      <color rgb="FF262F13"/>
      <color rgb="FFCA6008"/>
      <color rgb="FFFF0000"/>
      <color rgb="FFB7DEE8"/>
      <color rgb="FFFFFF99"/>
      <color rgb="FFA4FC68"/>
      <color rgb="FFFFCC66"/>
      <color rgb="FF37C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7" name="Düz Bağlayıcı 6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17" name="Düz Bağlayıcı 16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36" name="Düz Bağlayıcı 35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48" name="Düz Bağlayıcı 47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52" name="Düz Bağlayıcı 51"/>
        <xdr:cNvCxnSpPr/>
      </xdr:nvCxnSpPr>
      <xdr:spPr>
        <a:xfrm>
          <a:off x="400050" y="1743075"/>
          <a:ext cx="866775" cy="581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53" name="Düz Bağlayıcı 52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19" name="Düz Bağlayıcı 18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20" name="Düz Bağlayıcı 19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21" name="Düz Bağlayıcı 20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9525</xdr:rowOff>
    </xdr:from>
    <xdr:to>
      <xdr:col>1</xdr:col>
      <xdr:colOff>304800</xdr:colOff>
      <xdr:row>6</xdr:row>
      <xdr:rowOff>9525</xdr:rowOff>
    </xdr:to>
    <xdr:cxnSp macro="">
      <xdr:nvCxnSpPr>
        <xdr:cNvPr id="2" name="Düz Bağlayıcı 1"/>
        <xdr:cNvCxnSpPr/>
      </xdr:nvCxnSpPr>
      <xdr:spPr>
        <a:xfrm>
          <a:off x="381000" y="1104900"/>
          <a:ext cx="0" cy="2190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5</xdr:row>
      <xdr:rowOff>9525</xdr:rowOff>
    </xdr:from>
    <xdr:to>
      <xdr:col>3</xdr:col>
      <xdr:colOff>314325</xdr:colOff>
      <xdr:row>5</xdr:row>
      <xdr:rowOff>209550</xdr:rowOff>
    </xdr:to>
    <xdr:cxnSp macro="">
      <xdr:nvCxnSpPr>
        <xdr:cNvPr id="3" name="Düz Bağlayıcı 2"/>
        <xdr:cNvCxnSpPr/>
      </xdr:nvCxnSpPr>
      <xdr:spPr>
        <a:xfrm>
          <a:off x="1647825" y="1104900"/>
          <a:ext cx="0" cy="2000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11</xdr:row>
      <xdr:rowOff>19050</xdr:rowOff>
    </xdr:from>
    <xdr:to>
      <xdr:col>2</xdr:col>
      <xdr:colOff>314325</xdr:colOff>
      <xdr:row>11</xdr:row>
      <xdr:rowOff>200025</xdr:rowOff>
    </xdr:to>
    <xdr:cxnSp macro="">
      <xdr:nvCxnSpPr>
        <xdr:cNvPr id="4" name="Düz Bağlayıcı 3"/>
        <xdr:cNvCxnSpPr/>
      </xdr:nvCxnSpPr>
      <xdr:spPr>
        <a:xfrm>
          <a:off x="1019175" y="2428875"/>
          <a:ext cx="0" cy="18097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319087</xdr:colOff>
      <xdr:row>5</xdr:row>
      <xdr:rowOff>9525</xdr:rowOff>
    </xdr:from>
    <xdr:to>
      <xdr:col>2</xdr:col>
      <xdr:colOff>319087</xdr:colOff>
      <xdr:row>9</xdr:row>
      <xdr:rowOff>190499</xdr:rowOff>
    </xdr:to>
    <xdr:cxnSp macro="">
      <xdr:nvCxnSpPr>
        <xdr:cNvPr id="5" name="Düz Bağlayıcı 4"/>
        <xdr:cNvCxnSpPr/>
      </xdr:nvCxnSpPr>
      <xdr:spPr>
        <a:xfrm>
          <a:off x="1023937" y="1104900"/>
          <a:ext cx="0" cy="1057274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7</xdr:row>
      <xdr:rowOff>9525</xdr:rowOff>
    </xdr:from>
    <xdr:to>
      <xdr:col>2</xdr:col>
      <xdr:colOff>314325</xdr:colOff>
      <xdr:row>10</xdr:row>
      <xdr:rowOff>0</xdr:rowOff>
    </xdr:to>
    <xdr:cxnSp macro="">
      <xdr:nvCxnSpPr>
        <xdr:cNvPr id="6" name="Düz Bağlayıcı 5"/>
        <xdr:cNvCxnSpPr/>
      </xdr:nvCxnSpPr>
      <xdr:spPr>
        <a:xfrm>
          <a:off x="390525" y="1543050"/>
          <a:ext cx="628650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304801</xdr:colOff>
      <xdr:row>7</xdr:row>
      <xdr:rowOff>9525</xdr:rowOff>
    </xdr:from>
    <xdr:to>
      <xdr:col>3</xdr:col>
      <xdr:colOff>323850</xdr:colOff>
      <xdr:row>10</xdr:row>
      <xdr:rowOff>0</xdr:rowOff>
    </xdr:to>
    <xdr:cxnSp macro="">
      <xdr:nvCxnSpPr>
        <xdr:cNvPr id="7" name="Düz Bağlayıcı 6"/>
        <xdr:cNvCxnSpPr/>
      </xdr:nvCxnSpPr>
      <xdr:spPr>
        <a:xfrm flipH="1">
          <a:off x="1009651" y="1543050"/>
          <a:ext cx="647699" cy="6477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314325</xdr:colOff>
      <xdr:row>3</xdr:row>
      <xdr:rowOff>0</xdr:rowOff>
    </xdr:from>
    <xdr:to>
      <xdr:col>1</xdr:col>
      <xdr:colOff>314325</xdr:colOff>
      <xdr:row>4</xdr:row>
      <xdr:rowOff>0</xdr:rowOff>
    </xdr:to>
    <xdr:cxnSp macro="">
      <xdr:nvCxnSpPr>
        <xdr:cNvPr id="8" name="Düz Bağlayıcı 7"/>
        <xdr:cNvCxnSpPr/>
      </xdr:nvCxnSpPr>
      <xdr:spPr>
        <a:xfrm>
          <a:off x="390525" y="571500"/>
          <a:ext cx="0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314325</xdr:colOff>
      <xdr:row>3</xdr:row>
      <xdr:rowOff>0</xdr:rowOff>
    </xdr:from>
    <xdr:to>
      <xdr:col>2</xdr:col>
      <xdr:colOff>323850</xdr:colOff>
      <xdr:row>4</xdr:row>
      <xdr:rowOff>0</xdr:rowOff>
    </xdr:to>
    <xdr:cxnSp macro="">
      <xdr:nvCxnSpPr>
        <xdr:cNvPr id="9" name="Düz Bağlayıcı 8"/>
        <xdr:cNvCxnSpPr/>
      </xdr:nvCxnSpPr>
      <xdr:spPr>
        <a:xfrm flipH="1">
          <a:off x="1019175" y="571500"/>
          <a:ext cx="9525" cy="31432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314325</xdr:colOff>
      <xdr:row>3</xdr:row>
      <xdr:rowOff>0</xdr:rowOff>
    </xdr:from>
    <xdr:to>
      <xdr:col>3</xdr:col>
      <xdr:colOff>314325</xdr:colOff>
      <xdr:row>3</xdr:row>
      <xdr:rowOff>304800</xdr:rowOff>
    </xdr:to>
    <xdr:cxnSp macro="">
      <xdr:nvCxnSpPr>
        <xdr:cNvPr id="10" name="Düz Bağlayıcı 9"/>
        <xdr:cNvCxnSpPr/>
      </xdr:nvCxnSpPr>
      <xdr:spPr>
        <a:xfrm>
          <a:off x="1647825" y="571500"/>
          <a:ext cx="0" cy="30480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B1:X51"/>
  <sheetViews>
    <sheetView view="pageBreakPreview" zoomScale="115" zoomScaleNormal="100" zoomScaleSheetLayoutView="115" workbookViewId="0">
      <selection activeCell="U12" sqref="U12"/>
    </sheetView>
  </sheetViews>
  <sheetFormatPr defaultColWidth="9.140625" defaultRowHeight="15" x14ac:dyDescent="0.25"/>
  <cols>
    <col min="1" max="1" width="1" style="5" customWidth="1"/>
    <col min="2" max="21" width="4.85546875" style="5" customWidth="1"/>
    <col min="22" max="22" width="1.28515625" style="5" customWidth="1"/>
    <col min="23" max="23" width="4.140625" style="5" customWidth="1"/>
    <col min="24" max="24" width="3.7109375" style="5" customWidth="1"/>
    <col min="25" max="28" width="12.7109375" style="5" customWidth="1"/>
    <col min="29" max="16384" width="9.140625" style="5"/>
  </cols>
  <sheetData>
    <row r="1" spans="2:24" s="58" customFormat="1" ht="6" customHeight="1" thickBot="1" x14ac:dyDescent="0.3"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7"/>
      <c r="X1" s="57"/>
    </row>
    <row r="2" spans="2:24" ht="27" customHeight="1" x14ac:dyDescent="0.25">
      <c r="B2" s="80" t="s">
        <v>19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2"/>
      <c r="V2" s="56"/>
      <c r="W2" s="75"/>
      <c r="X2" s="75"/>
    </row>
    <row r="3" spans="2:24" ht="13.5" customHeight="1" x14ac:dyDescent="0.25">
      <c r="B3" s="77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/>
      <c r="V3" s="56"/>
      <c r="W3" s="75"/>
      <c r="X3" s="75"/>
    </row>
    <row r="4" spans="2:24" ht="27" customHeight="1" x14ac:dyDescent="0.25">
      <c r="B4" s="83" t="s">
        <v>5</v>
      </c>
      <c r="C4" s="84"/>
      <c r="D4" s="84"/>
      <c r="E4" s="85"/>
      <c r="F4" s="86" t="s">
        <v>6</v>
      </c>
      <c r="G4" s="84"/>
      <c r="H4" s="84"/>
      <c r="I4" s="85"/>
      <c r="J4" s="86" t="s">
        <v>7</v>
      </c>
      <c r="K4" s="84"/>
      <c r="L4" s="84"/>
      <c r="M4" s="85"/>
      <c r="N4" s="86" t="s">
        <v>8</v>
      </c>
      <c r="O4" s="84"/>
      <c r="P4" s="84"/>
      <c r="Q4" s="85"/>
      <c r="R4" s="86" t="s">
        <v>9</v>
      </c>
      <c r="S4" s="84"/>
      <c r="T4" s="84"/>
      <c r="U4" s="89"/>
      <c r="V4" s="56"/>
      <c r="W4" s="76"/>
      <c r="X4" s="76"/>
    </row>
    <row r="5" spans="2:24" ht="27" customHeight="1" x14ac:dyDescent="0.25">
      <c r="B5" s="139">
        <f ca="1">SumDigits(SumDigits(SUM(M13:M33)))</f>
        <v>0</v>
      </c>
      <c r="C5" s="88"/>
      <c r="D5" s="88"/>
      <c r="E5" s="88"/>
      <c r="F5" s="88">
        <f ca="1">SumDigits(SumDigits(SUM(N13:N33)))</f>
        <v>0</v>
      </c>
      <c r="G5" s="88"/>
      <c r="H5" s="88"/>
      <c r="I5" s="88"/>
      <c r="J5" s="88">
        <f ca="1">SumDigits(SumDigits(SUM(O13:O33)))</f>
        <v>0</v>
      </c>
      <c r="K5" s="88"/>
      <c r="L5" s="88"/>
      <c r="M5" s="88"/>
      <c r="N5" s="88">
        <f ca="1">SumDigits(SumDigits(SUM(P13:P33)))</f>
        <v>0</v>
      </c>
      <c r="O5" s="88"/>
      <c r="P5" s="88"/>
      <c r="Q5" s="88"/>
      <c r="R5" s="88">
        <f ca="1">SumDigits(SumDigits(SUM(Q13:Q33)))</f>
        <v>0</v>
      </c>
      <c r="S5" s="88"/>
      <c r="T5" s="88"/>
      <c r="U5" s="140"/>
      <c r="V5" s="56"/>
      <c r="W5" s="76"/>
      <c r="X5" s="76"/>
    </row>
    <row r="6" spans="2:24" s="58" customFormat="1" ht="27" customHeight="1" x14ac:dyDescent="0.25">
      <c r="B6" s="67"/>
      <c r="C6" s="68"/>
      <c r="D6" s="87" t="s">
        <v>10</v>
      </c>
      <c r="E6" s="87"/>
      <c r="F6" s="87"/>
      <c r="G6" s="87"/>
      <c r="H6" s="87" t="s">
        <v>11</v>
      </c>
      <c r="I6" s="87"/>
      <c r="J6" s="87"/>
      <c r="K6" s="87"/>
      <c r="L6" s="68"/>
      <c r="M6" s="68"/>
      <c r="N6" s="68"/>
      <c r="O6" s="68"/>
      <c r="P6" s="68"/>
      <c r="Q6" s="68"/>
      <c r="R6" s="68"/>
      <c r="S6" s="68"/>
      <c r="T6" s="68"/>
      <c r="U6" s="69"/>
      <c r="V6" s="56"/>
      <c r="W6" s="59"/>
      <c r="X6" s="50"/>
    </row>
    <row r="7" spans="2:24" ht="27" customHeight="1" x14ac:dyDescent="0.25">
      <c r="B7" s="67"/>
      <c r="C7" s="68"/>
      <c r="D7" s="88">
        <f ca="1">SumDigits(SumDigits(SUM(R13:R33)))</f>
        <v>0</v>
      </c>
      <c r="E7" s="88"/>
      <c r="F7" s="88"/>
      <c r="G7" s="88"/>
      <c r="H7" s="88">
        <f ca="1">SumDigits(SumDigits(SUM(S13:S33)))</f>
        <v>0</v>
      </c>
      <c r="I7" s="88"/>
      <c r="J7" s="88"/>
      <c r="K7" s="88"/>
      <c r="L7" s="70"/>
      <c r="M7" s="68"/>
      <c r="N7" s="68"/>
      <c r="O7" s="68"/>
      <c r="P7" s="68"/>
      <c r="Q7" s="68"/>
      <c r="R7" s="68"/>
      <c r="S7" s="68"/>
      <c r="T7" s="68"/>
      <c r="U7" s="69"/>
      <c r="V7" s="60"/>
      <c r="W7" s="59"/>
      <c r="X7" s="50"/>
    </row>
    <row r="8" spans="2:24" ht="27" customHeight="1" x14ac:dyDescent="0.25">
      <c r="B8" s="67"/>
      <c r="C8" s="68"/>
      <c r="D8" s="68"/>
      <c r="E8" s="68"/>
      <c r="F8" s="87" t="s">
        <v>18</v>
      </c>
      <c r="G8" s="87"/>
      <c r="H8" s="87"/>
      <c r="I8" s="87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9"/>
      <c r="V8" s="60"/>
      <c r="W8" s="59"/>
      <c r="X8" s="50"/>
    </row>
    <row r="9" spans="2:24" ht="27" customHeight="1" x14ac:dyDescent="0.25">
      <c r="B9" s="71"/>
      <c r="C9" s="70"/>
      <c r="D9" s="70"/>
      <c r="E9" s="70"/>
      <c r="F9" s="88">
        <f ca="1">SumDigits(SumDigits(SUM(T13:T33)))</f>
        <v>0</v>
      </c>
      <c r="G9" s="88"/>
      <c r="H9" s="88"/>
      <c r="I9" s="88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2"/>
      <c r="V9" s="60"/>
      <c r="W9" s="59"/>
      <c r="X9" s="50"/>
    </row>
    <row r="10" spans="2:24" ht="13.5" customHeight="1" x14ac:dyDescent="0.25">
      <c r="B10" s="25"/>
      <c r="C10" s="24"/>
      <c r="D10" s="24"/>
      <c r="E10" s="24"/>
      <c r="F10" s="49"/>
      <c r="G10" s="49"/>
      <c r="H10" s="49"/>
      <c r="I10" s="49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52"/>
      <c r="V10" s="60"/>
      <c r="W10" s="59"/>
      <c r="X10" s="50"/>
    </row>
    <row r="11" spans="2:24" ht="19.5" customHeight="1" x14ac:dyDescent="0.25">
      <c r="B11" s="25"/>
      <c r="C11" s="91" t="s">
        <v>26</v>
      </c>
      <c r="D11" s="91"/>
      <c r="E11" s="91"/>
      <c r="F11" s="91"/>
      <c r="G11" s="91"/>
      <c r="H11" s="91"/>
      <c r="I11" s="91"/>
      <c r="J11" s="91"/>
      <c r="K11" s="91"/>
      <c r="L11" s="91"/>
      <c r="M11" s="90" t="s">
        <v>5</v>
      </c>
      <c r="N11" s="90" t="s">
        <v>6</v>
      </c>
      <c r="O11" s="90" t="s">
        <v>7</v>
      </c>
      <c r="P11" s="90" t="s">
        <v>8</v>
      </c>
      <c r="Q11" s="90" t="s">
        <v>9</v>
      </c>
      <c r="R11" s="90" t="s">
        <v>10</v>
      </c>
      <c r="S11" s="90" t="s">
        <v>11</v>
      </c>
      <c r="T11" s="90" t="s">
        <v>18</v>
      </c>
      <c r="U11" s="61"/>
      <c r="V11" s="60"/>
      <c r="W11" s="90" t="s">
        <v>21</v>
      </c>
      <c r="X11" s="90" t="s">
        <v>20</v>
      </c>
    </row>
    <row r="12" spans="2:24" ht="19.5" customHeight="1" x14ac:dyDescent="0.25">
      <c r="B12" s="51"/>
      <c r="C12" s="92" t="s">
        <v>24</v>
      </c>
      <c r="D12" s="92"/>
      <c r="E12" s="92"/>
      <c r="F12" s="92"/>
      <c r="G12" s="92"/>
      <c r="H12" s="92"/>
      <c r="I12" s="91" t="s">
        <v>25</v>
      </c>
      <c r="J12" s="91"/>
      <c r="K12" s="91"/>
      <c r="L12" s="91"/>
      <c r="M12" s="90"/>
      <c r="N12" s="90"/>
      <c r="O12" s="90"/>
      <c r="P12" s="90"/>
      <c r="Q12" s="90"/>
      <c r="R12" s="90"/>
      <c r="S12" s="90"/>
      <c r="T12" s="90"/>
      <c r="U12" s="52"/>
      <c r="V12" s="60"/>
      <c r="W12" s="90" t="s">
        <v>21</v>
      </c>
      <c r="X12" s="90" t="s">
        <v>20</v>
      </c>
    </row>
    <row r="13" spans="2:24" ht="24.95" customHeight="1" x14ac:dyDescent="0.25">
      <c r="B13" s="62"/>
      <c r="C13" s="93" t="str">
        <f ca="1">IF(W13&lt;&gt;"",IF(INDIRECT("'"&amp;X13&amp;"'!C19",1)&lt;&gt;"",INDIRECT("'"&amp;X13&amp;"'!C19",1),"İSİM YOK"),"")</f>
        <v/>
      </c>
      <c r="D13" s="93"/>
      <c r="E13" s="93"/>
      <c r="F13" s="93"/>
      <c r="G13" s="93"/>
      <c r="H13" s="93"/>
      <c r="I13" s="94" t="str">
        <f ca="1">IF(W13&lt;&gt;"",IF(INDIRECT("'"&amp;X13&amp;"'!C18",1)&lt;&gt;"",INDIRECT("'"&amp;X13&amp;"'!C18",1),"İSİM YOK"),"")</f>
        <v/>
      </c>
      <c r="J13" s="94"/>
      <c r="K13" s="94"/>
      <c r="L13" s="94"/>
      <c r="M13" s="55">
        <f t="shared" ref="M13:M33" ca="1" si="0">IF($W13&lt;&gt;"",IF(IFERROR(INDIRECT("'"&amp;$X13&amp;"'!"&amp;"F19",1),0),INDIRECT("'"&amp;$X13&amp;"'!"&amp;"F19",1),0),0)</f>
        <v>0</v>
      </c>
      <c r="N13" s="55">
        <f ca="1">IF($W13&lt;&gt;"",IF(IFERROR(INDIRECT("'"&amp;$X13&amp;"'!"&amp;"N19",1),0),INDIRECT("'"&amp;$X13&amp;"'!"&amp;"N19",1),0),0)</f>
        <v>0</v>
      </c>
      <c r="O13" s="55">
        <f ca="1">IF($W13&lt;&gt;"",IF(IFERROR(INDIRECT("'"&amp;$X13&amp;"'!"&amp;"V19",1),0),INDIRECT("'"&amp;$X13&amp;"'!"&amp;"V19",1),0),0)</f>
        <v>0</v>
      </c>
      <c r="P13" s="55">
        <f ca="1">IF($W13&lt;&gt;"",IF(IFERROR(INDIRECT("'"&amp;$X13&amp;"'!"&amp;"AD19",1),0),INDIRECT("'"&amp;$X13&amp;"'!"&amp;"AD19",1),0),0)</f>
        <v>0</v>
      </c>
      <c r="Q13" s="55">
        <f ca="1">IF($W13&lt;&gt;"",IF(IFERROR(INDIRECT("'"&amp;$X13&amp;"'!"&amp;"AL19",1),0),INDIRECT("'"&amp;$X13&amp;"'!"&amp;"AL19",1),0),0)</f>
        <v>0</v>
      </c>
      <c r="R13" s="55">
        <f ca="1">IF($W13&lt;&gt;"",IF(IFERROR(INDIRECT("'"&amp;$X13&amp;"'!"&amp;"J21",1),0),INDIRECT("'"&amp;$X13&amp;"'!"&amp;"J21",1),0),0)</f>
        <v>0</v>
      </c>
      <c r="S13" s="55">
        <f ca="1">IF($W13&lt;&gt;"",IF(IFERROR(INDIRECT("'"&amp;$X13&amp;"'!"&amp;"R21",1),0),INDIRECT("'"&amp;$X13&amp;"'!"&amp;"R21",1),0),0)</f>
        <v>0</v>
      </c>
      <c r="T13" s="53">
        <f ca="1">IF($W13&lt;&gt;"",IF(IFERROR(INDIRECT("'"&amp;$X13&amp;"'!"&amp;"N23",1),0),INDIRECT("'"&amp;$X13&amp;"'!"&amp;"N23",1),0),0)</f>
        <v>0</v>
      </c>
      <c r="U13" s="63"/>
      <c r="V13" s="60"/>
      <c r="W13" s="74"/>
      <c r="X13" s="141">
        <v>1</v>
      </c>
    </row>
    <row r="14" spans="2:24" ht="24.95" customHeight="1" x14ac:dyDescent="0.25">
      <c r="B14" s="62"/>
      <c r="C14" s="93" t="str">
        <f t="shared" ref="C14:C32" ca="1" si="1">IF(W14&lt;&gt;"",IF(INDIRECT("'"&amp;X14&amp;"'!C19",1)&lt;&gt;"",INDIRECT("'"&amp;X14&amp;"'!C19",1),"İSİM YOK"),"")</f>
        <v/>
      </c>
      <c r="D14" s="93"/>
      <c r="E14" s="93"/>
      <c r="F14" s="93"/>
      <c r="G14" s="93"/>
      <c r="H14" s="93"/>
      <c r="I14" s="94" t="str">
        <f t="shared" ref="I14:I32" ca="1" si="2">IF(W14&lt;&gt;"",IF(INDIRECT("'"&amp;X14&amp;"'!C18",1)&lt;&gt;"",INDIRECT("'"&amp;X14&amp;"'!C18",1),"İSİM YOK"),"")</f>
        <v/>
      </c>
      <c r="J14" s="94"/>
      <c r="K14" s="94"/>
      <c r="L14" s="94"/>
      <c r="M14" s="55">
        <f t="shared" ca="1" si="0"/>
        <v>0</v>
      </c>
      <c r="N14" s="55">
        <f t="shared" ref="N14:N33" ca="1" si="3">IF($W14&lt;&gt;"",IF(IFERROR(INDIRECT("'"&amp;$X14&amp;"'!"&amp;"N19",1),0),INDIRECT("'"&amp;$X14&amp;"'!"&amp;"N19",1),0),0)</f>
        <v>0</v>
      </c>
      <c r="O14" s="55">
        <f t="shared" ref="O14:O33" ca="1" si="4">IF($W14&lt;&gt;"",IF(IFERROR(INDIRECT("'"&amp;$X14&amp;"'!"&amp;"V19",1),0),INDIRECT("'"&amp;$X14&amp;"'!"&amp;"V19",1),0),0)</f>
        <v>0</v>
      </c>
      <c r="P14" s="55">
        <f t="shared" ref="P14:P33" ca="1" si="5">IF($W14&lt;&gt;"",IF(IFERROR(INDIRECT("'"&amp;$X14&amp;"'!"&amp;"AD19",1),0),INDIRECT("'"&amp;$X14&amp;"'!"&amp;"AD19",1),0),0)</f>
        <v>0</v>
      </c>
      <c r="Q14" s="55">
        <f t="shared" ref="Q14:Q33" ca="1" si="6">IF($W14&lt;&gt;"",IF(IFERROR(INDIRECT("'"&amp;$X14&amp;"'!"&amp;"AL19",1),0),INDIRECT("'"&amp;$X14&amp;"'!"&amp;"AL19",1),0),0)</f>
        <v>0</v>
      </c>
      <c r="R14" s="55">
        <f t="shared" ref="R14:R33" ca="1" si="7">IF($W14&lt;&gt;"",IF(IFERROR(INDIRECT("'"&amp;$X14&amp;"'!"&amp;"J21",1),0),INDIRECT("'"&amp;$X14&amp;"'!"&amp;"J21",1),0),0)</f>
        <v>0</v>
      </c>
      <c r="S14" s="55">
        <f t="shared" ref="S14:S33" ca="1" si="8">IF($W14&lt;&gt;"",IF(IFERROR(INDIRECT("'"&amp;$X14&amp;"'!"&amp;"R21",1),0),INDIRECT("'"&amp;$X14&amp;"'!"&amp;"R21",1),0),0)</f>
        <v>0</v>
      </c>
      <c r="T14" s="53">
        <f t="shared" ref="T14:T33" ca="1" si="9">IF($W14&lt;&gt;"",IF(IFERROR(INDIRECT("'"&amp;$X14&amp;"'!"&amp;"N23",1),0),INDIRECT("'"&amp;$X14&amp;"'!"&amp;"N23",1),0),0)</f>
        <v>0</v>
      </c>
      <c r="U14" s="63"/>
      <c r="V14" s="60"/>
      <c r="W14" s="74"/>
      <c r="X14" s="141">
        <v>2</v>
      </c>
    </row>
    <row r="15" spans="2:24" ht="24.95" customHeight="1" x14ac:dyDescent="0.25">
      <c r="B15" s="62"/>
      <c r="C15" s="93" t="str">
        <f t="shared" ca="1" si="1"/>
        <v/>
      </c>
      <c r="D15" s="93"/>
      <c r="E15" s="93"/>
      <c r="F15" s="93"/>
      <c r="G15" s="93"/>
      <c r="H15" s="93"/>
      <c r="I15" s="94" t="str">
        <f t="shared" ca="1" si="2"/>
        <v/>
      </c>
      <c r="J15" s="94"/>
      <c r="K15" s="94"/>
      <c r="L15" s="94"/>
      <c r="M15" s="55">
        <f t="shared" ca="1" si="0"/>
        <v>0</v>
      </c>
      <c r="N15" s="55">
        <f t="shared" ca="1" si="3"/>
        <v>0</v>
      </c>
      <c r="O15" s="55">
        <f t="shared" ca="1" si="4"/>
        <v>0</v>
      </c>
      <c r="P15" s="55">
        <f t="shared" ca="1" si="5"/>
        <v>0</v>
      </c>
      <c r="Q15" s="55">
        <f t="shared" ca="1" si="6"/>
        <v>0</v>
      </c>
      <c r="R15" s="55">
        <f t="shared" ca="1" si="7"/>
        <v>0</v>
      </c>
      <c r="S15" s="55">
        <f t="shared" ca="1" si="8"/>
        <v>0</v>
      </c>
      <c r="T15" s="53">
        <f t="shared" ca="1" si="9"/>
        <v>0</v>
      </c>
      <c r="U15" s="63"/>
      <c r="V15" s="60"/>
      <c r="W15" s="74"/>
      <c r="X15" s="141">
        <v>3</v>
      </c>
    </row>
    <row r="16" spans="2:24" ht="24.95" customHeight="1" x14ac:dyDescent="0.25">
      <c r="B16" s="62"/>
      <c r="C16" s="93" t="str">
        <f t="shared" ca="1" si="1"/>
        <v/>
      </c>
      <c r="D16" s="93"/>
      <c r="E16" s="93"/>
      <c r="F16" s="93"/>
      <c r="G16" s="93"/>
      <c r="H16" s="93"/>
      <c r="I16" s="94" t="str">
        <f t="shared" ca="1" si="2"/>
        <v/>
      </c>
      <c r="J16" s="94"/>
      <c r="K16" s="94"/>
      <c r="L16" s="94"/>
      <c r="M16" s="55">
        <f t="shared" ca="1" si="0"/>
        <v>0</v>
      </c>
      <c r="N16" s="55">
        <f t="shared" ca="1" si="3"/>
        <v>0</v>
      </c>
      <c r="O16" s="55">
        <f t="shared" ca="1" si="4"/>
        <v>0</v>
      </c>
      <c r="P16" s="55">
        <f t="shared" ca="1" si="5"/>
        <v>0</v>
      </c>
      <c r="Q16" s="55">
        <f t="shared" ca="1" si="6"/>
        <v>0</v>
      </c>
      <c r="R16" s="55">
        <f t="shared" ca="1" si="7"/>
        <v>0</v>
      </c>
      <c r="S16" s="55">
        <f t="shared" ca="1" si="8"/>
        <v>0</v>
      </c>
      <c r="T16" s="53">
        <f t="shared" ca="1" si="9"/>
        <v>0</v>
      </c>
      <c r="U16" s="63"/>
      <c r="V16" s="60"/>
      <c r="W16" s="74"/>
      <c r="X16" s="141">
        <v>4</v>
      </c>
    </row>
    <row r="17" spans="2:24" ht="24.95" customHeight="1" x14ac:dyDescent="0.25">
      <c r="B17" s="62"/>
      <c r="C17" s="93" t="str">
        <f t="shared" ca="1" si="1"/>
        <v/>
      </c>
      <c r="D17" s="93"/>
      <c r="E17" s="93"/>
      <c r="F17" s="93"/>
      <c r="G17" s="93"/>
      <c r="H17" s="93"/>
      <c r="I17" s="94" t="str">
        <f t="shared" ca="1" si="2"/>
        <v/>
      </c>
      <c r="J17" s="94"/>
      <c r="K17" s="94"/>
      <c r="L17" s="94"/>
      <c r="M17" s="55">
        <f t="shared" ca="1" si="0"/>
        <v>0</v>
      </c>
      <c r="N17" s="55">
        <f t="shared" ca="1" si="3"/>
        <v>0</v>
      </c>
      <c r="O17" s="55">
        <f t="shared" ca="1" si="4"/>
        <v>0</v>
      </c>
      <c r="P17" s="55">
        <f t="shared" ca="1" si="5"/>
        <v>0</v>
      </c>
      <c r="Q17" s="55">
        <f t="shared" ca="1" si="6"/>
        <v>0</v>
      </c>
      <c r="R17" s="55">
        <f t="shared" ca="1" si="7"/>
        <v>0</v>
      </c>
      <c r="S17" s="55">
        <f t="shared" ca="1" si="8"/>
        <v>0</v>
      </c>
      <c r="T17" s="53">
        <f t="shared" ca="1" si="9"/>
        <v>0</v>
      </c>
      <c r="U17" s="63"/>
      <c r="V17" s="60"/>
      <c r="W17" s="74"/>
      <c r="X17" s="141">
        <v>5</v>
      </c>
    </row>
    <row r="18" spans="2:24" ht="24.95" customHeight="1" x14ac:dyDescent="0.25">
      <c r="B18" s="62"/>
      <c r="C18" s="93" t="str">
        <f t="shared" ca="1" si="1"/>
        <v/>
      </c>
      <c r="D18" s="93"/>
      <c r="E18" s="93"/>
      <c r="F18" s="93"/>
      <c r="G18" s="93"/>
      <c r="H18" s="93"/>
      <c r="I18" s="94" t="str">
        <f t="shared" ca="1" si="2"/>
        <v/>
      </c>
      <c r="J18" s="94"/>
      <c r="K18" s="94"/>
      <c r="L18" s="94"/>
      <c r="M18" s="55">
        <f t="shared" ca="1" si="0"/>
        <v>0</v>
      </c>
      <c r="N18" s="55">
        <f t="shared" ca="1" si="3"/>
        <v>0</v>
      </c>
      <c r="O18" s="55">
        <f t="shared" ca="1" si="4"/>
        <v>0</v>
      </c>
      <c r="P18" s="55">
        <f t="shared" ca="1" si="5"/>
        <v>0</v>
      </c>
      <c r="Q18" s="55">
        <f t="shared" ca="1" si="6"/>
        <v>0</v>
      </c>
      <c r="R18" s="55">
        <f t="shared" ca="1" si="7"/>
        <v>0</v>
      </c>
      <c r="S18" s="55">
        <f t="shared" ca="1" si="8"/>
        <v>0</v>
      </c>
      <c r="T18" s="53">
        <f t="shared" ca="1" si="9"/>
        <v>0</v>
      </c>
      <c r="U18" s="63"/>
      <c r="V18" s="60"/>
      <c r="W18" s="74"/>
      <c r="X18" s="141">
        <v>6</v>
      </c>
    </row>
    <row r="19" spans="2:24" ht="24.95" customHeight="1" x14ac:dyDescent="0.25">
      <c r="B19" s="62"/>
      <c r="C19" s="93" t="str">
        <f t="shared" ca="1" si="1"/>
        <v/>
      </c>
      <c r="D19" s="93"/>
      <c r="E19" s="93"/>
      <c r="F19" s="93"/>
      <c r="G19" s="93"/>
      <c r="H19" s="93"/>
      <c r="I19" s="94" t="str">
        <f t="shared" ca="1" si="2"/>
        <v/>
      </c>
      <c r="J19" s="94"/>
      <c r="K19" s="94"/>
      <c r="L19" s="94"/>
      <c r="M19" s="55">
        <f t="shared" ca="1" si="0"/>
        <v>0</v>
      </c>
      <c r="N19" s="55">
        <f t="shared" ca="1" si="3"/>
        <v>0</v>
      </c>
      <c r="O19" s="55">
        <f t="shared" ca="1" si="4"/>
        <v>0</v>
      </c>
      <c r="P19" s="55">
        <f t="shared" ca="1" si="5"/>
        <v>0</v>
      </c>
      <c r="Q19" s="55">
        <f t="shared" ca="1" si="6"/>
        <v>0</v>
      </c>
      <c r="R19" s="55">
        <f t="shared" ca="1" si="7"/>
        <v>0</v>
      </c>
      <c r="S19" s="55">
        <f t="shared" ca="1" si="8"/>
        <v>0</v>
      </c>
      <c r="T19" s="53">
        <f t="shared" ca="1" si="9"/>
        <v>0</v>
      </c>
      <c r="U19" s="63"/>
      <c r="V19" s="60"/>
      <c r="W19" s="74"/>
      <c r="X19" s="141">
        <v>7</v>
      </c>
    </row>
    <row r="20" spans="2:24" ht="24.95" customHeight="1" x14ac:dyDescent="0.25">
      <c r="B20" s="62"/>
      <c r="C20" s="93" t="str">
        <f t="shared" ca="1" si="1"/>
        <v/>
      </c>
      <c r="D20" s="93"/>
      <c r="E20" s="93"/>
      <c r="F20" s="93"/>
      <c r="G20" s="93"/>
      <c r="H20" s="93"/>
      <c r="I20" s="94" t="str">
        <f t="shared" ca="1" si="2"/>
        <v/>
      </c>
      <c r="J20" s="94"/>
      <c r="K20" s="94"/>
      <c r="L20" s="94"/>
      <c r="M20" s="55">
        <f t="shared" ca="1" si="0"/>
        <v>0</v>
      </c>
      <c r="N20" s="55">
        <f t="shared" ca="1" si="3"/>
        <v>0</v>
      </c>
      <c r="O20" s="55">
        <f t="shared" ca="1" si="4"/>
        <v>0</v>
      </c>
      <c r="P20" s="55">
        <f t="shared" ca="1" si="5"/>
        <v>0</v>
      </c>
      <c r="Q20" s="55">
        <f t="shared" ca="1" si="6"/>
        <v>0</v>
      </c>
      <c r="R20" s="55">
        <f t="shared" ca="1" si="7"/>
        <v>0</v>
      </c>
      <c r="S20" s="55">
        <f t="shared" ca="1" si="8"/>
        <v>0</v>
      </c>
      <c r="T20" s="53">
        <f t="shared" ca="1" si="9"/>
        <v>0</v>
      </c>
      <c r="U20" s="63"/>
      <c r="V20" s="60"/>
      <c r="W20" s="74"/>
      <c r="X20" s="141">
        <v>8</v>
      </c>
    </row>
    <row r="21" spans="2:24" ht="24.95" customHeight="1" x14ac:dyDescent="0.25">
      <c r="B21" s="62"/>
      <c r="C21" s="93" t="str">
        <f t="shared" ca="1" si="1"/>
        <v/>
      </c>
      <c r="D21" s="93"/>
      <c r="E21" s="93"/>
      <c r="F21" s="93"/>
      <c r="G21" s="93"/>
      <c r="H21" s="93"/>
      <c r="I21" s="94" t="str">
        <f t="shared" ca="1" si="2"/>
        <v/>
      </c>
      <c r="J21" s="94"/>
      <c r="K21" s="94"/>
      <c r="L21" s="94"/>
      <c r="M21" s="55">
        <f t="shared" ca="1" si="0"/>
        <v>0</v>
      </c>
      <c r="N21" s="55">
        <f t="shared" ca="1" si="3"/>
        <v>0</v>
      </c>
      <c r="O21" s="55">
        <f t="shared" ca="1" si="4"/>
        <v>0</v>
      </c>
      <c r="P21" s="55">
        <f t="shared" ca="1" si="5"/>
        <v>0</v>
      </c>
      <c r="Q21" s="55">
        <f t="shared" ca="1" si="6"/>
        <v>0</v>
      </c>
      <c r="R21" s="55">
        <f t="shared" ca="1" si="7"/>
        <v>0</v>
      </c>
      <c r="S21" s="55">
        <f t="shared" ca="1" si="8"/>
        <v>0</v>
      </c>
      <c r="T21" s="53">
        <f t="shared" ca="1" si="9"/>
        <v>0</v>
      </c>
      <c r="U21" s="63"/>
      <c r="V21" s="60"/>
      <c r="W21" s="74"/>
      <c r="X21" s="141">
        <v>9</v>
      </c>
    </row>
    <row r="22" spans="2:24" ht="24.95" customHeight="1" x14ac:dyDescent="0.25">
      <c r="B22" s="62"/>
      <c r="C22" s="93" t="str">
        <f t="shared" ca="1" si="1"/>
        <v/>
      </c>
      <c r="D22" s="93"/>
      <c r="E22" s="93"/>
      <c r="F22" s="93"/>
      <c r="G22" s="93"/>
      <c r="H22" s="93"/>
      <c r="I22" s="94" t="str">
        <f t="shared" ca="1" si="2"/>
        <v/>
      </c>
      <c r="J22" s="94"/>
      <c r="K22" s="94"/>
      <c r="L22" s="94"/>
      <c r="M22" s="55">
        <f t="shared" ca="1" si="0"/>
        <v>0</v>
      </c>
      <c r="N22" s="55">
        <f t="shared" ca="1" si="3"/>
        <v>0</v>
      </c>
      <c r="O22" s="55">
        <f t="shared" ca="1" si="4"/>
        <v>0</v>
      </c>
      <c r="P22" s="55">
        <f t="shared" ca="1" si="5"/>
        <v>0</v>
      </c>
      <c r="Q22" s="55">
        <f t="shared" ca="1" si="6"/>
        <v>0</v>
      </c>
      <c r="R22" s="55">
        <f t="shared" ca="1" si="7"/>
        <v>0</v>
      </c>
      <c r="S22" s="55">
        <f t="shared" ca="1" si="8"/>
        <v>0</v>
      </c>
      <c r="T22" s="53">
        <f t="shared" ca="1" si="9"/>
        <v>0</v>
      </c>
      <c r="U22" s="63"/>
      <c r="V22" s="60"/>
      <c r="W22" s="74"/>
      <c r="X22" s="141">
        <v>10</v>
      </c>
    </row>
    <row r="23" spans="2:24" ht="24.95" customHeight="1" x14ac:dyDescent="0.25">
      <c r="B23" s="62"/>
      <c r="C23" s="93" t="str">
        <f t="shared" ca="1" si="1"/>
        <v/>
      </c>
      <c r="D23" s="93"/>
      <c r="E23" s="93"/>
      <c r="F23" s="93"/>
      <c r="G23" s="93"/>
      <c r="H23" s="93"/>
      <c r="I23" s="94" t="str">
        <f t="shared" ca="1" si="2"/>
        <v/>
      </c>
      <c r="J23" s="94"/>
      <c r="K23" s="94"/>
      <c r="L23" s="94"/>
      <c r="M23" s="55">
        <f t="shared" ca="1" si="0"/>
        <v>0</v>
      </c>
      <c r="N23" s="55">
        <f t="shared" ca="1" si="3"/>
        <v>0</v>
      </c>
      <c r="O23" s="55">
        <f t="shared" ca="1" si="4"/>
        <v>0</v>
      </c>
      <c r="P23" s="55">
        <f t="shared" ca="1" si="5"/>
        <v>0</v>
      </c>
      <c r="Q23" s="55">
        <f t="shared" ca="1" si="6"/>
        <v>0</v>
      </c>
      <c r="R23" s="55">
        <f t="shared" ca="1" si="7"/>
        <v>0</v>
      </c>
      <c r="S23" s="55">
        <f t="shared" ca="1" si="8"/>
        <v>0</v>
      </c>
      <c r="T23" s="53">
        <f t="shared" ca="1" si="9"/>
        <v>0</v>
      </c>
      <c r="U23" s="63"/>
      <c r="V23" s="60"/>
      <c r="W23" s="74"/>
      <c r="X23" s="141">
        <v>11</v>
      </c>
    </row>
    <row r="24" spans="2:24" ht="24.95" customHeight="1" x14ac:dyDescent="0.25">
      <c r="B24" s="62"/>
      <c r="C24" s="93" t="str">
        <f t="shared" ca="1" si="1"/>
        <v/>
      </c>
      <c r="D24" s="93"/>
      <c r="E24" s="93"/>
      <c r="F24" s="93"/>
      <c r="G24" s="93"/>
      <c r="H24" s="93"/>
      <c r="I24" s="94" t="str">
        <f t="shared" ca="1" si="2"/>
        <v/>
      </c>
      <c r="J24" s="94"/>
      <c r="K24" s="94"/>
      <c r="L24" s="94"/>
      <c r="M24" s="55">
        <f t="shared" ca="1" si="0"/>
        <v>0</v>
      </c>
      <c r="N24" s="55">
        <f t="shared" ca="1" si="3"/>
        <v>0</v>
      </c>
      <c r="O24" s="55">
        <f t="shared" ca="1" si="4"/>
        <v>0</v>
      </c>
      <c r="P24" s="55">
        <f t="shared" ca="1" si="5"/>
        <v>0</v>
      </c>
      <c r="Q24" s="55">
        <f t="shared" ca="1" si="6"/>
        <v>0</v>
      </c>
      <c r="R24" s="55">
        <f t="shared" ca="1" si="7"/>
        <v>0</v>
      </c>
      <c r="S24" s="55">
        <f t="shared" ca="1" si="8"/>
        <v>0</v>
      </c>
      <c r="T24" s="53">
        <f t="shared" ca="1" si="9"/>
        <v>0</v>
      </c>
      <c r="U24" s="63"/>
      <c r="V24" s="60"/>
      <c r="W24" s="74"/>
      <c r="X24" s="141">
        <v>12</v>
      </c>
    </row>
    <row r="25" spans="2:24" ht="24.95" customHeight="1" x14ac:dyDescent="0.25">
      <c r="B25" s="62"/>
      <c r="C25" s="93" t="str">
        <f t="shared" ca="1" si="1"/>
        <v/>
      </c>
      <c r="D25" s="93"/>
      <c r="E25" s="93"/>
      <c r="F25" s="93"/>
      <c r="G25" s="93"/>
      <c r="H25" s="93"/>
      <c r="I25" s="94" t="str">
        <f t="shared" ca="1" si="2"/>
        <v/>
      </c>
      <c r="J25" s="94"/>
      <c r="K25" s="94"/>
      <c r="L25" s="94"/>
      <c r="M25" s="55">
        <f t="shared" ca="1" si="0"/>
        <v>0</v>
      </c>
      <c r="N25" s="55">
        <f t="shared" ca="1" si="3"/>
        <v>0</v>
      </c>
      <c r="O25" s="55">
        <f t="shared" ca="1" si="4"/>
        <v>0</v>
      </c>
      <c r="P25" s="55">
        <f t="shared" ca="1" si="5"/>
        <v>0</v>
      </c>
      <c r="Q25" s="55">
        <f t="shared" ca="1" si="6"/>
        <v>0</v>
      </c>
      <c r="R25" s="55">
        <f t="shared" ca="1" si="7"/>
        <v>0</v>
      </c>
      <c r="S25" s="55">
        <f t="shared" ca="1" si="8"/>
        <v>0</v>
      </c>
      <c r="T25" s="53">
        <f t="shared" ca="1" si="9"/>
        <v>0</v>
      </c>
      <c r="U25" s="63"/>
      <c r="V25" s="60"/>
      <c r="W25" s="74"/>
      <c r="X25" s="141">
        <v>13</v>
      </c>
    </row>
    <row r="26" spans="2:24" ht="24.95" customHeight="1" x14ac:dyDescent="0.25">
      <c r="B26" s="62"/>
      <c r="C26" s="93" t="str">
        <f t="shared" ca="1" si="1"/>
        <v/>
      </c>
      <c r="D26" s="93"/>
      <c r="E26" s="93"/>
      <c r="F26" s="93"/>
      <c r="G26" s="93"/>
      <c r="H26" s="93"/>
      <c r="I26" s="94" t="str">
        <f t="shared" ca="1" si="2"/>
        <v/>
      </c>
      <c r="J26" s="94"/>
      <c r="K26" s="94"/>
      <c r="L26" s="94"/>
      <c r="M26" s="55">
        <f t="shared" ca="1" si="0"/>
        <v>0</v>
      </c>
      <c r="N26" s="55">
        <f t="shared" ca="1" si="3"/>
        <v>0</v>
      </c>
      <c r="O26" s="55">
        <f t="shared" ca="1" si="4"/>
        <v>0</v>
      </c>
      <c r="P26" s="55">
        <f t="shared" ca="1" si="5"/>
        <v>0</v>
      </c>
      <c r="Q26" s="55">
        <f t="shared" ca="1" si="6"/>
        <v>0</v>
      </c>
      <c r="R26" s="55">
        <f t="shared" ca="1" si="7"/>
        <v>0</v>
      </c>
      <c r="S26" s="55">
        <f t="shared" ca="1" si="8"/>
        <v>0</v>
      </c>
      <c r="T26" s="53">
        <f t="shared" ca="1" si="9"/>
        <v>0</v>
      </c>
      <c r="U26" s="63"/>
      <c r="V26" s="60"/>
      <c r="W26" s="74"/>
      <c r="X26" s="141">
        <v>14</v>
      </c>
    </row>
    <row r="27" spans="2:24" ht="24.95" customHeight="1" x14ac:dyDescent="0.25">
      <c r="B27" s="62"/>
      <c r="C27" s="93" t="str">
        <f t="shared" ca="1" si="1"/>
        <v/>
      </c>
      <c r="D27" s="93"/>
      <c r="E27" s="93"/>
      <c r="F27" s="93"/>
      <c r="G27" s="93"/>
      <c r="H27" s="93"/>
      <c r="I27" s="94" t="str">
        <f t="shared" ca="1" si="2"/>
        <v/>
      </c>
      <c r="J27" s="94"/>
      <c r="K27" s="94"/>
      <c r="L27" s="94"/>
      <c r="M27" s="55">
        <f t="shared" ca="1" si="0"/>
        <v>0</v>
      </c>
      <c r="N27" s="55">
        <f t="shared" ca="1" si="3"/>
        <v>0</v>
      </c>
      <c r="O27" s="55">
        <f t="shared" ca="1" si="4"/>
        <v>0</v>
      </c>
      <c r="P27" s="55">
        <f t="shared" ca="1" si="5"/>
        <v>0</v>
      </c>
      <c r="Q27" s="55">
        <f t="shared" ca="1" si="6"/>
        <v>0</v>
      </c>
      <c r="R27" s="55">
        <f t="shared" ca="1" si="7"/>
        <v>0</v>
      </c>
      <c r="S27" s="55">
        <f t="shared" ca="1" si="8"/>
        <v>0</v>
      </c>
      <c r="T27" s="53">
        <f t="shared" ca="1" si="9"/>
        <v>0</v>
      </c>
      <c r="U27" s="63"/>
      <c r="V27" s="60"/>
      <c r="W27" s="74"/>
      <c r="X27" s="141">
        <v>15</v>
      </c>
    </row>
    <row r="28" spans="2:24" ht="24.95" customHeight="1" x14ac:dyDescent="0.25">
      <c r="B28" s="62"/>
      <c r="C28" s="93" t="str">
        <f t="shared" ca="1" si="1"/>
        <v/>
      </c>
      <c r="D28" s="93"/>
      <c r="E28" s="93"/>
      <c r="F28" s="93"/>
      <c r="G28" s="93"/>
      <c r="H28" s="93"/>
      <c r="I28" s="94" t="str">
        <f t="shared" ca="1" si="2"/>
        <v/>
      </c>
      <c r="J28" s="94"/>
      <c r="K28" s="94"/>
      <c r="L28" s="94"/>
      <c r="M28" s="55">
        <f t="shared" ca="1" si="0"/>
        <v>0</v>
      </c>
      <c r="N28" s="55">
        <f t="shared" ca="1" si="3"/>
        <v>0</v>
      </c>
      <c r="O28" s="55">
        <f t="shared" ca="1" si="4"/>
        <v>0</v>
      </c>
      <c r="P28" s="55">
        <f t="shared" ca="1" si="5"/>
        <v>0</v>
      </c>
      <c r="Q28" s="55">
        <f t="shared" ca="1" si="6"/>
        <v>0</v>
      </c>
      <c r="R28" s="55">
        <f t="shared" ca="1" si="7"/>
        <v>0</v>
      </c>
      <c r="S28" s="55">
        <f t="shared" ca="1" si="8"/>
        <v>0</v>
      </c>
      <c r="T28" s="53">
        <f t="shared" ca="1" si="9"/>
        <v>0</v>
      </c>
      <c r="U28" s="63"/>
      <c r="V28" s="60"/>
      <c r="W28" s="74"/>
      <c r="X28" s="141">
        <v>16</v>
      </c>
    </row>
    <row r="29" spans="2:24" ht="24.95" customHeight="1" x14ac:dyDescent="0.25">
      <c r="B29" s="62"/>
      <c r="C29" s="93" t="str">
        <f t="shared" ca="1" si="1"/>
        <v/>
      </c>
      <c r="D29" s="93"/>
      <c r="E29" s="93"/>
      <c r="F29" s="93"/>
      <c r="G29" s="93"/>
      <c r="H29" s="93"/>
      <c r="I29" s="94" t="str">
        <f t="shared" ca="1" si="2"/>
        <v/>
      </c>
      <c r="J29" s="94"/>
      <c r="K29" s="94"/>
      <c r="L29" s="94"/>
      <c r="M29" s="55">
        <f t="shared" ca="1" si="0"/>
        <v>0</v>
      </c>
      <c r="N29" s="55">
        <f t="shared" ca="1" si="3"/>
        <v>0</v>
      </c>
      <c r="O29" s="55">
        <f t="shared" ca="1" si="4"/>
        <v>0</v>
      </c>
      <c r="P29" s="55">
        <f t="shared" ca="1" si="5"/>
        <v>0</v>
      </c>
      <c r="Q29" s="55">
        <f t="shared" ca="1" si="6"/>
        <v>0</v>
      </c>
      <c r="R29" s="55">
        <f t="shared" ca="1" si="7"/>
        <v>0</v>
      </c>
      <c r="S29" s="55">
        <f t="shared" ca="1" si="8"/>
        <v>0</v>
      </c>
      <c r="T29" s="53">
        <f t="shared" ca="1" si="9"/>
        <v>0</v>
      </c>
      <c r="U29" s="63"/>
      <c r="V29" s="60"/>
      <c r="W29" s="74"/>
      <c r="X29" s="141">
        <v>17</v>
      </c>
    </row>
    <row r="30" spans="2:24" ht="24.95" customHeight="1" x14ac:dyDescent="0.25">
      <c r="B30" s="62"/>
      <c r="C30" s="93" t="str">
        <f t="shared" ca="1" si="1"/>
        <v/>
      </c>
      <c r="D30" s="93"/>
      <c r="E30" s="93"/>
      <c r="F30" s="93"/>
      <c r="G30" s="93"/>
      <c r="H30" s="93"/>
      <c r="I30" s="94" t="str">
        <f t="shared" ca="1" si="2"/>
        <v/>
      </c>
      <c r="J30" s="94"/>
      <c r="K30" s="94"/>
      <c r="L30" s="94"/>
      <c r="M30" s="55">
        <f t="shared" ca="1" si="0"/>
        <v>0</v>
      </c>
      <c r="N30" s="55">
        <f t="shared" ca="1" si="3"/>
        <v>0</v>
      </c>
      <c r="O30" s="55">
        <f t="shared" ca="1" si="4"/>
        <v>0</v>
      </c>
      <c r="P30" s="55">
        <f t="shared" ca="1" si="5"/>
        <v>0</v>
      </c>
      <c r="Q30" s="55">
        <f t="shared" ca="1" si="6"/>
        <v>0</v>
      </c>
      <c r="R30" s="55">
        <f t="shared" ca="1" si="7"/>
        <v>0</v>
      </c>
      <c r="S30" s="55">
        <f t="shared" ca="1" si="8"/>
        <v>0</v>
      </c>
      <c r="T30" s="53">
        <f t="shared" ca="1" si="9"/>
        <v>0</v>
      </c>
      <c r="U30" s="63"/>
      <c r="V30" s="60"/>
      <c r="W30" s="74"/>
      <c r="X30" s="141">
        <v>18</v>
      </c>
    </row>
    <row r="31" spans="2:24" ht="24.95" customHeight="1" x14ac:dyDescent="0.25">
      <c r="B31" s="62"/>
      <c r="C31" s="93" t="str">
        <f t="shared" ca="1" si="1"/>
        <v/>
      </c>
      <c r="D31" s="93"/>
      <c r="E31" s="93"/>
      <c r="F31" s="93"/>
      <c r="G31" s="93"/>
      <c r="H31" s="93"/>
      <c r="I31" s="94" t="str">
        <f t="shared" ca="1" si="2"/>
        <v/>
      </c>
      <c r="J31" s="94"/>
      <c r="K31" s="94"/>
      <c r="L31" s="94"/>
      <c r="M31" s="55">
        <f t="shared" ca="1" si="0"/>
        <v>0</v>
      </c>
      <c r="N31" s="55">
        <f t="shared" ca="1" si="3"/>
        <v>0</v>
      </c>
      <c r="O31" s="55">
        <f t="shared" ca="1" si="4"/>
        <v>0</v>
      </c>
      <c r="P31" s="55">
        <f t="shared" ca="1" si="5"/>
        <v>0</v>
      </c>
      <c r="Q31" s="55">
        <f t="shared" ca="1" si="6"/>
        <v>0</v>
      </c>
      <c r="R31" s="55">
        <f t="shared" ca="1" si="7"/>
        <v>0</v>
      </c>
      <c r="S31" s="55">
        <f t="shared" ca="1" si="8"/>
        <v>0</v>
      </c>
      <c r="T31" s="53">
        <f t="shared" ca="1" si="9"/>
        <v>0</v>
      </c>
      <c r="U31" s="63"/>
      <c r="V31" s="60"/>
      <c r="W31" s="74"/>
      <c r="X31" s="141">
        <v>19</v>
      </c>
    </row>
    <row r="32" spans="2:24" ht="24.95" customHeight="1" x14ac:dyDescent="0.25">
      <c r="B32" s="62"/>
      <c r="C32" s="93" t="str">
        <f t="shared" ca="1" si="1"/>
        <v/>
      </c>
      <c r="D32" s="93"/>
      <c r="E32" s="93"/>
      <c r="F32" s="93"/>
      <c r="G32" s="93"/>
      <c r="H32" s="93"/>
      <c r="I32" s="94" t="str">
        <f t="shared" ca="1" si="2"/>
        <v/>
      </c>
      <c r="J32" s="94"/>
      <c r="K32" s="94"/>
      <c r="L32" s="94"/>
      <c r="M32" s="55">
        <f t="shared" ca="1" si="0"/>
        <v>0</v>
      </c>
      <c r="N32" s="55">
        <f t="shared" ca="1" si="3"/>
        <v>0</v>
      </c>
      <c r="O32" s="55">
        <f t="shared" ca="1" si="4"/>
        <v>0</v>
      </c>
      <c r="P32" s="55">
        <f t="shared" ca="1" si="5"/>
        <v>0</v>
      </c>
      <c r="Q32" s="55">
        <f t="shared" ca="1" si="6"/>
        <v>0</v>
      </c>
      <c r="R32" s="55">
        <f t="shared" ca="1" si="7"/>
        <v>0</v>
      </c>
      <c r="S32" s="55">
        <f t="shared" ca="1" si="8"/>
        <v>0</v>
      </c>
      <c r="T32" s="53">
        <f t="shared" ca="1" si="9"/>
        <v>0</v>
      </c>
      <c r="U32" s="63"/>
      <c r="V32" s="60"/>
      <c r="W32" s="74"/>
      <c r="X32" s="141">
        <v>20</v>
      </c>
    </row>
    <row r="33" spans="2:24" ht="24.95" customHeight="1" x14ac:dyDescent="0.25">
      <c r="B33" s="62"/>
      <c r="C33" s="93" t="str">
        <f t="shared" ref="C33" ca="1" si="10">IF(W33&lt;&gt;"",IF(INDIRECT("'"&amp;X33&amp;"'!C19",1)&lt;&gt;"",INDIRECT("'"&amp;X33&amp;"'!C19",1),"İSİM YOK"),"")</f>
        <v/>
      </c>
      <c r="D33" s="93"/>
      <c r="E33" s="93"/>
      <c r="F33" s="93"/>
      <c r="G33" s="93"/>
      <c r="H33" s="93"/>
      <c r="I33" s="94" t="str">
        <f t="shared" ref="I33" ca="1" si="11">IF(W33&lt;&gt;"",IF(INDIRECT("'"&amp;X33&amp;"'!C18",1)&lt;&gt;"",INDIRECT("'"&amp;X33&amp;"'!C18",1),"İSİM YOK"),"")</f>
        <v/>
      </c>
      <c r="J33" s="94"/>
      <c r="K33" s="94"/>
      <c r="L33" s="94"/>
      <c r="M33" s="55">
        <f t="shared" ca="1" si="0"/>
        <v>0</v>
      </c>
      <c r="N33" s="55">
        <f t="shared" ca="1" si="3"/>
        <v>0</v>
      </c>
      <c r="O33" s="55">
        <f t="shared" ca="1" si="4"/>
        <v>0</v>
      </c>
      <c r="P33" s="55">
        <f t="shared" ca="1" si="5"/>
        <v>0</v>
      </c>
      <c r="Q33" s="55">
        <f t="shared" ca="1" si="6"/>
        <v>0</v>
      </c>
      <c r="R33" s="55">
        <f t="shared" ca="1" si="7"/>
        <v>0</v>
      </c>
      <c r="S33" s="55">
        <f t="shared" ca="1" si="8"/>
        <v>0</v>
      </c>
      <c r="T33" s="53">
        <f t="shared" ca="1" si="9"/>
        <v>0</v>
      </c>
      <c r="U33" s="63"/>
      <c r="V33" s="60"/>
      <c r="W33" s="74"/>
      <c r="X33" s="141">
        <v>21</v>
      </c>
    </row>
    <row r="34" spans="2:24" ht="5.25" customHeight="1" thickBot="1" x14ac:dyDescent="0.3">
      <c r="B34" s="64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6"/>
      <c r="W34" s="73"/>
      <c r="X34" s="58"/>
    </row>
    <row r="35" spans="2:24" ht="5.25" customHeight="1" x14ac:dyDescent="0.25"/>
    <row r="36" spans="2:24" ht="25.5" customHeight="1" x14ac:dyDescent="0.25"/>
    <row r="37" spans="2:24" ht="25.5" customHeight="1" x14ac:dyDescent="0.25"/>
    <row r="38" spans="2:24" ht="25.5" customHeight="1" x14ac:dyDescent="0.25"/>
    <row r="39" spans="2:24" ht="25.5" customHeight="1" x14ac:dyDescent="0.25"/>
    <row r="40" spans="2:24" ht="25.5" customHeight="1" x14ac:dyDescent="0.25"/>
    <row r="41" spans="2:24" ht="25.5" customHeight="1" x14ac:dyDescent="0.25"/>
    <row r="42" spans="2:24" ht="25.5" customHeight="1" x14ac:dyDescent="0.25"/>
    <row r="43" spans="2:24" ht="25.5" customHeight="1" x14ac:dyDescent="0.25"/>
    <row r="44" spans="2:24" ht="25.5" customHeight="1" x14ac:dyDescent="0.25"/>
    <row r="45" spans="2:24" ht="25.5" customHeight="1" x14ac:dyDescent="0.25"/>
    <row r="46" spans="2:24" ht="25.5" customHeight="1" x14ac:dyDescent="0.25"/>
    <row r="47" spans="2:24" ht="25.5" customHeight="1" x14ac:dyDescent="0.25"/>
    <row r="48" spans="2:24" ht="25.5" customHeight="1" x14ac:dyDescent="0.25"/>
    <row r="49" ht="25.5" customHeight="1" x14ac:dyDescent="0.25"/>
    <row r="50" ht="25.5" customHeight="1" x14ac:dyDescent="0.25"/>
    <row r="51" ht="25.5" customHeight="1" x14ac:dyDescent="0.25"/>
  </sheetData>
  <sheetProtection algorithmName="SHA-512" hashValue="AblGHfsE+wmd3J7ihOXixLhXOvo2N95m3R2RtfIn5S0mb55Jnraa3m4091HtNy0o9xVTrMYL0A7sSakV3unjVA==" saltValue="jP7xL9uIUCUkiIflHEfCmg==" spinCount="100000" sheet="1" objects="1" scenarios="1"/>
  <mergeCells count="72">
    <mergeCell ref="C33:H33"/>
    <mergeCell ref="I33:L33"/>
    <mergeCell ref="X11:X12"/>
    <mergeCell ref="C32:H32"/>
    <mergeCell ref="I32:L32"/>
    <mergeCell ref="W11:W12"/>
    <mergeCell ref="C29:H29"/>
    <mergeCell ref="I29:L29"/>
    <mergeCell ref="C30:H30"/>
    <mergeCell ref="I30:L30"/>
    <mergeCell ref="C31:H31"/>
    <mergeCell ref="I31:L31"/>
    <mergeCell ref="C26:H26"/>
    <mergeCell ref="I26:L26"/>
    <mergeCell ref="C27:H27"/>
    <mergeCell ref="I27:L27"/>
    <mergeCell ref="C28:H28"/>
    <mergeCell ref="I28:L28"/>
    <mergeCell ref="C23:H23"/>
    <mergeCell ref="I23:L23"/>
    <mergeCell ref="C24:H24"/>
    <mergeCell ref="I24:L24"/>
    <mergeCell ref="C25:H25"/>
    <mergeCell ref="I25:L25"/>
    <mergeCell ref="C20:H20"/>
    <mergeCell ref="I20:L20"/>
    <mergeCell ref="C21:H21"/>
    <mergeCell ref="I21:L21"/>
    <mergeCell ref="C22:H22"/>
    <mergeCell ref="I22:L22"/>
    <mergeCell ref="C17:H17"/>
    <mergeCell ref="I17:L17"/>
    <mergeCell ref="C18:H18"/>
    <mergeCell ref="I18:L18"/>
    <mergeCell ref="C19:H19"/>
    <mergeCell ref="I19:L19"/>
    <mergeCell ref="C14:H14"/>
    <mergeCell ref="I14:L14"/>
    <mergeCell ref="C15:H15"/>
    <mergeCell ref="I15:L15"/>
    <mergeCell ref="C16:H16"/>
    <mergeCell ref="I16:L16"/>
    <mergeCell ref="C13:H13"/>
    <mergeCell ref="I13:L13"/>
    <mergeCell ref="O11:O12"/>
    <mergeCell ref="P11:P12"/>
    <mergeCell ref="Q11:Q12"/>
    <mergeCell ref="M11:M12"/>
    <mergeCell ref="N11:N12"/>
    <mergeCell ref="R5:U5"/>
    <mergeCell ref="T11:T12"/>
    <mergeCell ref="I12:L12"/>
    <mergeCell ref="C11:L11"/>
    <mergeCell ref="C12:H12"/>
    <mergeCell ref="R11:R12"/>
    <mergeCell ref="S11:S12"/>
    <mergeCell ref="B2:U2"/>
    <mergeCell ref="B4:E4"/>
    <mergeCell ref="F4:I4"/>
    <mergeCell ref="J4:M4"/>
    <mergeCell ref="F9:I9"/>
    <mergeCell ref="D6:G6"/>
    <mergeCell ref="H6:K6"/>
    <mergeCell ref="D7:G7"/>
    <mergeCell ref="H7:K7"/>
    <mergeCell ref="F8:I8"/>
    <mergeCell ref="N4:Q4"/>
    <mergeCell ref="R4:U4"/>
    <mergeCell ref="B5:E5"/>
    <mergeCell ref="F5:I5"/>
    <mergeCell ref="J5:M5"/>
    <mergeCell ref="N5:Q5"/>
  </mergeCells>
  <conditionalFormatting sqref="B4:U34">
    <cfRule type="cellIs" dxfId="365" priority="1" operator="equal">
      <formula>9</formula>
    </cfRule>
    <cfRule type="cellIs" dxfId="364" priority="2" operator="equal">
      <formula>8</formula>
    </cfRule>
    <cfRule type="cellIs" dxfId="363" priority="3" operator="equal">
      <formula>4</formula>
    </cfRule>
    <cfRule type="cellIs" dxfId="362" priority="4" operator="equal">
      <formula>6</formula>
    </cfRule>
    <cfRule type="cellIs" dxfId="361" priority="5" operator="equal">
      <formula>3</formula>
    </cfRule>
    <cfRule type="cellIs" dxfId="360" priority="6" operator="equal">
      <formula>7</formula>
    </cfRule>
    <cfRule type="cellIs" dxfId="359" priority="7" operator="equal">
      <formula>2</formula>
    </cfRule>
    <cfRule type="cellIs" dxfId="358" priority="8" operator="equal">
      <formula>5</formula>
    </cfRule>
    <cfRule type="cellIs" dxfId="357" priority="9" operator="equal">
      <formula>1</formula>
    </cfRule>
  </conditionalFormatting>
  <pageMargins left="0.23622047244094491" right="0.23622047244094491" top="0.39370078740157483" bottom="0.39370078740157483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AX24"/>
  <sheetViews>
    <sheetView showGridLines="0" tabSelected="1" zoomScale="85" zoomScaleNormal="85" zoomScaleSheetLayoutView="100" workbookViewId="0">
      <selection activeCell="AO12" sqref="AO12"/>
    </sheetView>
  </sheetViews>
  <sheetFormatPr defaultColWidth="0" defaultRowHeight="15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F19:M19"/>
    <mergeCell ref="N19:U19"/>
    <mergeCell ref="V19:AC19"/>
    <mergeCell ref="AD19:AK19"/>
    <mergeCell ref="AL19:AS19"/>
    <mergeCell ref="F17:AS17"/>
    <mergeCell ref="B17:D17"/>
    <mergeCell ref="F18:M18"/>
    <mergeCell ref="N18:U18"/>
    <mergeCell ref="V18:AC18"/>
    <mergeCell ref="AD18:AK18"/>
    <mergeCell ref="AL18:AS18"/>
    <mergeCell ref="C18:D18"/>
    <mergeCell ref="F2:AS3"/>
    <mergeCell ref="J4:M4"/>
    <mergeCell ref="N4:Q4"/>
    <mergeCell ref="R4:U4"/>
    <mergeCell ref="V4:Y4"/>
    <mergeCell ref="Z4:AC4"/>
    <mergeCell ref="AD4:AG4"/>
    <mergeCell ref="F4:I4"/>
    <mergeCell ref="AP4:AS4"/>
    <mergeCell ref="AL4:AO4"/>
    <mergeCell ref="AH4:AK4"/>
    <mergeCell ref="N23:U23"/>
    <mergeCell ref="J20:Q20"/>
    <mergeCell ref="R20:Y20"/>
    <mergeCell ref="J21:Q21"/>
    <mergeCell ref="R21:Y21"/>
    <mergeCell ref="N22:U22"/>
    <mergeCell ref="C13:C15"/>
    <mergeCell ref="D13:D15"/>
    <mergeCell ref="B13:B15"/>
    <mergeCell ref="C19:D19"/>
    <mergeCell ref="C20:D20"/>
    <mergeCell ref="C21:D21"/>
    <mergeCell ref="B22:B23"/>
    <mergeCell ref="C22:D23"/>
  </mergeCells>
  <conditionalFormatting sqref="F6:AS15">
    <cfRule type="cellIs" dxfId="356" priority="1" operator="equal">
      <formula>"X"</formula>
    </cfRule>
    <cfRule type="cellIs" dxfId="355" priority="4" operator="equal">
      <formula>"T"</formula>
    </cfRule>
    <cfRule type="cellIs" dxfId="354" priority="5" operator="equal">
      <formula>"A"</formula>
    </cfRule>
    <cfRule type="cellIs" dxfId="353" priority="6" operator="equal">
      <formula>"S"</formula>
    </cfRule>
    <cfRule type="cellIs" dxfId="352" priority="7" operator="equal">
      <formula>"H"</formula>
    </cfRule>
    <cfRule type="cellIs" dxfId="340" priority="8" operator="equal">
      <formula>9</formula>
    </cfRule>
    <cfRule type="cellIs" dxfId="341" priority="9" operator="equal">
      <formula>1</formula>
    </cfRule>
    <cfRule type="cellIs" dxfId="351" priority="45" operator="equal">
      <formula>YEAR(TODAY())</formula>
    </cfRule>
  </conditionalFormatting>
  <conditionalFormatting sqref="F19:AS23 C13">
    <cfRule type="cellIs" dxfId="350" priority="18" operator="equal">
      <formula>9</formula>
    </cfRule>
    <cfRule type="cellIs" dxfId="349" priority="19" operator="equal">
      <formula>8</formula>
    </cfRule>
    <cfRule type="cellIs" dxfId="348" priority="20" operator="equal">
      <formula>4</formula>
    </cfRule>
    <cfRule type="cellIs" dxfId="347" priority="21" operator="equal">
      <formula>6</formula>
    </cfRule>
    <cfRule type="cellIs" dxfId="346" priority="22" operator="equal">
      <formula>3</formula>
    </cfRule>
    <cfRule type="cellIs" dxfId="345" priority="23" operator="equal">
      <formula>7</formula>
    </cfRule>
    <cfRule type="cellIs" dxfId="344" priority="24" operator="equal">
      <formula>2</formula>
    </cfRule>
    <cfRule type="cellIs" dxfId="343" priority="25" operator="equal">
      <formula>5</formula>
    </cfRule>
    <cfRule type="cellIs" dxfId="342" priority="46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ignoredErrors>
    <ignoredError sqref="M6:M15 Q6:Q15 U6:U15 Y6:Y15 AC6:AC15 AG6:AG15 AK6:AK15 AO6:AO15 AS7:AS15 I6:I15 N6:N15 R6:R15 V6:V15 Z6:Z15 AD6:AD15 AH6:AH15 AL6:AL15 AP7:AP15 J6:J15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339" priority="1" operator="equal">
      <formula>"X"</formula>
    </cfRule>
    <cfRule type="cellIs" dxfId="338" priority="2" operator="equal">
      <formula>"T"</formula>
    </cfRule>
    <cfRule type="cellIs" dxfId="337" priority="3" operator="equal">
      <formula>"A"</formula>
    </cfRule>
    <cfRule type="cellIs" dxfId="336" priority="4" operator="equal">
      <formula>"S"</formula>
    </cfRule>
    <cfRule type="cellIs" dxfId="335" priority="5" operator="equal">
      <formula>"H"</formula>
    </cfRule>
    <cfRule type="cellIs" dxfId="334" priority="6" operator="equal">
      <formula>9</formula>
    </cfRule>
    <cfRule type="cellIs" dxfId="333" priority="7" operator="equal">
      <formula>1</formula>
    </cfRule>
    <cfRule type="cellIs" dxfId="332" priority="16" operator="equal">
      <formula>YEAR(TODAY())</formula>
    </cfRule>
  </conditionalFormatting>
  <conditionalFormatting sqref="F19:AS23 C13">
    <cfRule type="cellIs" dxfId="331" priority="8" operator="equal">
      <formula>9</formula>
    </cfRule>
    <cfRule type="cellIs" dxfId="330" priority="9" operator="equal">
      <formula>8</formula>
    </cfRule>
    <cfRule type="cellIs" dxfId="329" priority="10" operator="equal">
      <formula>4</formula>
    </cfRule>
    <cfRule type="cellIs" dxfId="328" priority="11" operator="equal">
      <formula>6</formula>
    </cfRule>
    <cfRule type="cellIs" dxfId="327" priority="12" operator="equal">
      <formula>3</formula>
    </cfRule>
    <cfRule type="cellIs" dxfId="326" priority="13" operator="equal">
      <formula>7</formula>
    </cfRule>
    <cfRule type="cellIs" dxfId="325" priority="14" operator="equal">
      <formula>2</formula>
    </cfRule>
    <cfRule type="cellIs" dxfId="324" priority="15" operator="equal">
      <formula>5</formula>
    </cfRule>
    <cfRule type="cellIs" dxfId="323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322" priority="1" operator="equal">
      <formula>"X"</formula>
    </cfRule>
    <cfRule type="cellIs" dxfId="321" priority="2" operator="equal">
      <formula>"T"</formula>
    </cfRule>
    <cfRule type="cellIs" dxfId="320" priority="3" operator="equal">
      <formula>"A"</formula>
    </cfRule>
    <cfRule type="cellIs" dxfId="319" priority="4" operator="equal">
      <formula>"S"</formula>
    </cfRule>
    <cfRule type="cellIs" dxfId="318" priority="5" operator="equal">
      <formula>"H"</formula>
    </cfRule>
    <cfRule type="cellIs" dxfId="317" priority="6" operator="equal">
      <formula>9</formula>
    </cfRule>
    <cfRule type="cellIs" dxfId="316" priority="7" operator="equal">
      <formula>1</formula>
    </cfRule>
    <cfRule type="cellIs" dxfId="315" priority="16" operator="equal">
      <formula>YEAR(TODAY())</formula>
    </cfRule>
  </conditionalFormatting>
  <conditionalFormatting sqref="F19:AS23 C13">
    <cfRule type="cellIs" dxfId="314" priority="8" operator="equal">
      <formula>9</formula>
    </cfRule>
    <cfRule type="cellIs" dxfId="313" priority="9" operator="equal">
      <formula>8</formula>
    </cfRule>
    <cfRule type="cellIs" dxfId="312" priority="10" operator="equal">
      <formula>4</formula>
    </cfRule>
    <cfRule type="cellIs" dxfId="311" priority="11" operator="equal">
      <formula>6</formula>
    </cfRule>
    <cfRule type="cellIs" dxfId="310" priority="12" operator="equal">
      <formula>3</formula>
    </cfRule>
    <cfRule type="cellIs" dxfId="309" priority="13" operator="equal">
      <formula>7</formula>
    </cfRule>
    <cfRule type="cellIs" dxfId="308" priority="14" operator="equal">
      <formula>2</formula>
    </cfRule>
    <cfRule type="cellIs" dxfId="307" priority="15" operator="equal">
      <formula>5</formula>
    </cfRule>
    <cfRule type="cellIs" dxfId="306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305" priority="1" operator="equal">
      <formula>"X"</formula>
    </cfRule>
    <cfRule type="cellIs" dxfId="304" priority="2" operator="equal">
      <formula>"T"</formula>
    </cfRule>
    <cfRule type="cellIs" dxfId="303" priority="3" operator="equal">
      <formula>"A"</formula>
    </cfRule>
    <cfRule type="cellIs" dxfId="302" priority="4" operator="equal">
      <formula>"S"</formula>
    </cfRule>
    <cfRule type="cellIs" dxfId="301" priority="5" operator="equal">
      <formula>"H"</formula>
    </cfRule>
    <cfRule type="cellIs" dxfId="300" priority="6" operator="equal">
      <formula>9</formula>
    </cfRule>
    <cfRule type="cellIs" dxfId="299" priority="7" operator="equal">
      <formula>1</formula>
    </cfRule>
    <cfRule type="cellIs" dxfId="298" priority="16" operator="equal">
      <formula>YEAR(TODAY())</formula>
    </cfRule>
  </conditionalFormatting>
  <conditionalFormatting sqref="F19:AS23 C13">
    <cfRule type="cellIs" dxfId="297" priority="8" operator="equal">
      <formula>9</formula>
    </cfRule>
    <cfRule type="cellIs" dxfId="296" priority="9" operator="equal">
      <formula>8</formula>
    </cfRule>
    <cfRule type="cellIs" dxfId="295" priority="10" operator="equal">
      <formula>4</formula>
    </cfRule>
    <cfRule type="cellIs" dxfId="294" priority="11" operator="equal">
      <formula>6</formula>
    </cfRule>
    <cfRule type="cellIs" dxfId="293" priority="12" operator="equal">
      <formula>3</formula>
    </cfRule>
    <cfRule type="cellIs" dxfId="292" priority="13" operator="equal">
      <formula>7</formula>
    </cfRule>
    <cfRule type="cellIs" dxfId="291" priority="14" operator="equal">
      <formula>2</formula>
    </cfRule>
    <cfRule type="cellIs" dxfId="290" priority="15" operator="equal">
      <formula>5</formula>
    </cfRule>
    <cfRule type="cellIs" dxfId="289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288" priority="1" operator="equal">
      <formula>"X"</formula>
    </cfRule>
    <cfRule type="cellIs" dxfId="287" priority="2" operator="equal">
      <formula>"T"</formula>
    </cfRule>
    <cfRule type="cellIs" dxfId="286" priority="3" operator="equal">
      <formula>"A"</formula>
    </cfRule>
    <cfRule type="cellIs" dxfId="285" priority="4" operator="equal">
      <formula>"S"</formula>
    </cfRule>
    <cfRule type="cellIs" dxfId="284" priority="5" operator="equal">
      <formula>"H"</formula>
    </cfRule>
    <cfRule type="cellIs" dxfId="283" priority="6" operator="equal">
      <formula>9</formula>
    </cfRule>
    <cfRule type="cellIs" dxfId="282" priority="7" operator="equal">
      <formula>1</formula>
    </cfRule>
    <cfRule type="cellIs" dxfId="281" priority="16" operator="equal">
      <formula>YEAR(TODAY())</formula>
    </cfRule>
  </conditionalFormatting>
  <conditionalFormatting sqref="F19:AS23 C13">
    <cfRule type="cellIs" dxfId="280" priority="8" operator="equal">
      <formula>9</formula>
    </cfRule>
    <cfRule type="cellIs" dxfId="279" priority="9" operator="equal">
      <formula>8</formula>
    </cfRule>
    <cfRule type="cellIs" dxfId="278" priority="10" operator="equal">
      <formula>4</formula>
    </cfRule>
    <cfRule type="cellIs" dxfId="277" priority="11" operator="equal">
      <formula>6</formula>
    </cfRule>
    <cfRule type="cellIs" dxfId="276" priority="12" operator="equal">
      <formula>3</formula>
    </cfRule>
    <cfRule type="cellIs" dxfId="275" priority="13" operator="equal">
      <formula>7</formula>
    </cfRule>
    <cfRule type="cellIs" dxfId="274" priority="14" operator="equal">
      <formula>2</formula>
    </cfRule>
    <cfRule type="cellIs" dxfId="273" priority="15" operator="equal">
      <formula>5</formula>
    </cfRule>
    <cfRule type="cellIs" dxfId="272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271" priority="1" operator="equal">
      <formula>"X"</formula>
    </cfRule>
    <cfRule type="cellIs" dxfId="270" priority="2" operator="equal">
      <formula>"T"</formula>
    </cfRule>
    <cfRule type="cellIs" dxfId="269" priority="3" operator="equal">
      <formula>"A"</formula>
    </cfRule>
    <cfRule type="cellIs" dxfId="268" priority="4" operator="equal">
      <formula>"S"</formula>
    </cfRule>
    <cfRule type="cellIs" dxfId="267" priority="5" operator="equal">
      <formula>"H"</formula>
    </cfRule>
    <cfRule type="cellIs" dxfId="266" priority="6" operator="equal">
      <formula>9</formula>
    </cfRule>
    <cfRule type="cellIs" dxfId="265" priority="7" operator="equal">
      <formula>1</formula>
    </cfRule>
    <cfRule type="cellIs" dxfId="264" priority="16" operator="equal">
      <formula>YEAR(TODAY())</formula>
    </cfRule>
  </conditionalFormatting>
  <conditionalFormatting sqref="F19:AS23 C13">
    <cfRule type="cellIs" dxfId="263" priority="8" operator="equal">
      <formula>9</formula>
    </cfRule>
    <cfRule type="cellIs" dxfId="262" priority="9" operator="equal">
      <formula>8</formula>
    </cfRule>
    <cfRule type="cellIs" dxfId="261" priority="10" operator="equal">
      <formula>4</formula>
    </cfRule>
    <cfRule type="cellIs" dxfId="260" priority="11" operator="equal">
      <formula>6</formula>
    </cfRule>
    <cfRule type="cellIs" dxfId="259" priority="12" operator="equal">
      <formula>3</formula>
    </cfRule>
    <cfRule type="cellIs" dxfId="258" priority="13" operator="equal">
      <formula>7</formula>
    </cfRule>
    <cfRule type="cellIs" dxfId="257" priority="14" operator="equal">
      <formula>2</formula>
    </cfRule>
    <cfRule type="cellIs" dxfId="256" priority="15" operator="equal">
      <formula>5</formula>
    </cfRule>
    <cfRule type="cellIs" dxfId="255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254" priority="1" operator="equal">
      <formula>"X"</formula>
    </cfRule>
    <cfRule type="cellIs" dxfId="253" priority="2" operator="equal">
      <formula>"T"</formula>
    </cfRule>
    <cfRule type="cellIs" dxfId="252" priority="3" operator="equal">
      <formula>"A"</formula>
    </cfRule>
    <cfRule type="cellIs" dxfId="251" priority="4" operator="equal">
      <formula>"S"</formula>
    </cfRule>
    <cfRule type="cellIs" dxfId="250" priority="5" operator="equal">
      <formula>"H"</formula>
    </cfRule>
    <cfRule type="cellIs" dxfId="249" priority="6" operator="equal">
      <formula>9</formula>
    </cfRule>
    <cfRule type="cellIs" dxfId="248" priority="7" operator="equal">
      <formula>1</formula>
    </cfRule>
    <cfRule type="cellIs" dxfId="247" priority="16" operator="equal">
      <formula>YEAR(TODAY())</formula>
    </cfRule>
  </conditionalFormatting>
  <conditionalFormatting sqref="F19:AS23 C13">
    <cfRule type="cellIs" dxfId="246" priority="8" operator="equal">
      <formula>9</formula>
    </cfRule>
    <cfRule type="cellIs" dxfId="245" priority="9" operator="equal">
      <formula>8</formula>
    </cfRule>
    <cfRule type="cellIs" dxfId="244" priority="10" operator="equal">
      <formula>4</formula>
    </cfRule>
    <cfRule type="cellIs" dxfId="243" priority="11" operator="equal">
      <formula>6</formula>
    </cfRule>
    <cfRule type="cellIs" dxfId="242" priority="12" operator="equal">
      <formula>3</formula>
    </cfRule>
    <cfRule type="cellIs" dxfId="241" priority="13" operator="equal">
      <formula>7</formula>
    </cfRule>
    <cfRule type="cellIs" dxfId="240" priority="14" operator="equal">
      <formula>2</formula>
    </cfRule>
    <cfRule type="cellIs" dxfId="239" priority="15" operator="equal">
      <formula>5</formula>
    </cfRule>
    <cfRule type="cellIs" dxfId="238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237" priority="1" operator="equal">
      <formula>"X"</formula>
    </cfRule>
    <cfRule type="cellIs" dxfId="236" priority="2" operator="equal">
      <formula>"T"</formula>
    </cfRule>
    <cfRule type="cellIs" dxfId="235" priority="3" operator="equal">
      <formula>"A"</formula>
    </cfRule>
    <cfRule type="cellIs" dxfId="234" priority="4" operator="equal">
      <formula>"S"</formula>
    </cfRule>
    <cfRule type="cellIs" dxfId="233" priority="5" operator="equal">
      <formula>"H"</formula>
    </cfRule>
    <cfRule type="cellIs" dxfId="232" priority="6" operator="equal">
      <formula>9</formula>
    </cfRule>
    <cfRule type="cellIs" dxfId="231" priority="7" operator="equal">
      <formula>1</formula>
    </cfRule>
    <cfRule type="cellIs" dxfId="230" priority="16" operator="equal">
      <formula>YEAR(TODAY())</formula>
    </cfRule>
  </conditionalFormatting>
  <conditionalFormatting sqref="F19:AS23 C13">
    <cfRule type="cellIs" dxfId="229" priority="8" operator="equal">
      <formula>9</formula>
    </cfRule>
    <cfRule type="cellIs" dxfId="228" priority="9" operator="equal">
      <formula>8</formula>
    </cfRule>
    <cfRule type="cellIs" dxfId="227" priority="10" operator="equal">
      <formula>4</formula>
    </cfRule>
    <cfRule type="cellIs" dxfId="226" priority="11" operator="equal">
      <formula>6</formula>
    </cfRule>
    <cfRule type="cellIs" dxfId="225" priority="12" operator="equal">
      <formula>3</formula>
    </cfRule>
    <cfRule type="cellIs" dxfId="224" priority="13" operator="equal">
      <formula>7</formula>
    </cfRule>
    <cfRule type="cellIs" dxfId="223" priority="14" operator="equal">
      <formula>2</formula>
    </cfRule>
    <cfRule type="cellIs" dxfId="222" priority="15" operator="equal">
      <formula>5</formula>
    </cfRule>
    <cfRule type="cellIs" dxfId="221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0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220" priority="1" operator="equal">
      <formula>"X"</formula>
    </cfRule>
    <cfRule type="cellIs" dxfId="219" priority="2" operator="equal">
      <formula>"T"</formula>
    </cfRule>
    <cfRule type="cellIs" dxfId="218" priority="3" operator="equal">
      <formula>"A"</formula>
    </cfRule>
    <cfRule type="cellIs" dxfId="217" priority="4" operator="equal">
      <formula>"S"</formula>
    </cfRule>
    <cfRule type="cellIs" dxfId="216" priority="5" operator="equal">
      <formula>"H"</formula>
    </cfRule>
    <cfRule type="cellIs" dxfId="215" priority="6" operator="equal">
      <formula>9</formula>
    </cfRule>
    <cfRule type="cellIs" dxfId="214" priority="7" operator="equal">
      <formula>1</formula>
    </cfRule>
    <cfRule type="cellIs" dxfId="213" priority="16" operator="equal">
      <formula>YEAR(TODAY())</formula>
    </cfRule>
  </conditionalFormatting>
  <conditionalFormatting sqref="F19:AS23 C13">
    <cfRule type="cellIs" dxfId="212" priority="8" operator="equal">
      <formula>9</formula>
    </cfRule>
    <cfRule type="cellIs" dxfId="211" priority="9" operator="equal">
      <formula>8</formula>
    </cfRule>
    <cfRule type="cellIs" dxfId="210" priority="10" operator="equal">
      <formula>4</formula>
    </cfRule>
    <cfRule type="cellIs" dxfId="209" priority="11" operator="equal">
      <formula>6</formula>
    </cfRule>
    <cfRule type="cellIs" dxfId="208" priority="12" operator="equal">
      <formula>3</formula>
    </cfRule>
    <cfRule type="cellIs" dxfId="207" priority="13" operator="equal">
      <formula>7</formula>
    </cfRule>
    <cfRule type="cellIs" dxfId="206" priority="14" operator="equal">
      <formula>2</formula>
    </cfRule>
    <cfRule type="cellIs" dxfId="205" priority="15" operator="equal">
      <formula>5</formula>
    </cfRule>
    <cfRule type="cellIs" dxfId="204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1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203" priority="1" operator="equal">
      <formula>"X"</formula>
    </cfRule>
    <cfRule type="cellIs" dxfId="202" priority="2" operator="equal">
      <formula>"T"</formula>
    </cfRule>
    <cfRule type="cellIs" dxfId="201" priority="3" operator="equal">
      <formula>"A"</formula>
    </cfRule>
    <cfRule type="cellIs" dxfId="200" priority="4" operator="equal">
      <formula>"S"</formula>
    </cfRule>
    <cfRule type="cellIs" dxfId="199" priority="5" operator="equal">
      <formula>"H"</formula>
    </cfRule>
    <cfRule type="cellIs" dxfId="198" priority="6" operator="equal">
      <formula>9</formula>
    </cfRule>
    <cfRule type="cellIs" dxfId="197" priority="7" operator="equal">
      <formula>1</formula>
    </cfRule>
    <cfRule type="cellIs" dxfId="196" priority="16" operator="equal">
      <formula>YEAR(TODAY())</formula>
    </cfRule>
  </conditionalFormatting>
  <conditionalFormatting sqref="F19:AS23 C13">
    <cfRule type="cellIs" dxfId="195" priority="8" operator="equal">
      <formula>9</formula>
    </cfRule>
    <cfRule type="cellIs" dxfId="194" priority="9" operator="equal">
      <formula>8</formula>
    </cfRule>
    <cfRule type="cellIs" dxfId="193" priority="10" operator="equal">
      <formula>4</formula>
    </cfRule>
    <cfRule type="cellIs" dxfId="192" priority="11" operator="equal">
      <formula>6</formula>
    </cfRule>
    <cfRule type="cellIs" dxfId="191" priority="12" operator="equal">
      <formula>3</formula>
    </cfRule>
    <cfRule type="cellIs" dxfId="190" priority="13" operator="equal">
      <formula>7</formula>
    </cfRule>
    <cfRule type="cellIs" dxfId="189" priority="14" operator="equal">
      <formula>2</formula>
    </cfRule>
    <cfRule type="cellIs" dxfId="188" priority="15" operator="equal">
      <formula>5</formula>
    </cfRule>
    <cfRule type="cellIs" dxfId="187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2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186" priority="1" operator="equal">
      <formula>"X"</formula>
    </cfRule>
    <cfRule type="cellIs" dxfId="185" priority="2" operator="equal">
      <formula>"T"</formula>
    </cfRule>
    <cfRule type="cellIs" dxfId="184" priority="3" operator="equal">
      <formula>"A"</formula>
    </cfRule>
    <cfRule type="cellIs" dxfId="183" priority="4" operator="equal">
      <formula>"S"</formula>
    </cfRule>
    <cfRule type="cellIs" dxfId="182" priority="5" operator="equal">
      <formula>"H"</formula>
    </cfRule>
    <cfRule type="cellIs" dxfId="181" priority="6" operator="equal">
      <formula>9</formula>
    </cfRule>
    <cfRule type="cellIs" dxfId="180" priority="7" operator="equal">
      <formula>1</formula>
    </cfRule>
    <cfRule type="cellIs" dxfId="179" priority="16" operator="equal">
      <formula>YEAR(TODAY())</formula>
    </cfRule>
  </conditionalFormatting>
  <conditionalFormatting sqref="F19:AS23 C13">
    <cfRule type="cellIs" dxfId="178" priority="8" operator="equal">
      <formula>9</formula>
    </cfRule>
    <cfRule type="cellIs" dxfId="177" priority="9" operator="equal">
      <formula>8</formula>
    </cfRule>
    <cfRule type="cellIs" dxfId="176" priority="10" operator="equal">
      <formula>4</formula>
    </cfRule>
    <cfRule type="cellIs" dxfId="175" priority="11" operator="equal">
      <formula>6</formula>
    </cfRule>
    <cfRule type="cellIs" dxfId="174" priority="12" operator="equal">
      <formula>3</formula>
    </cfRule>
    <cfRule type="cellIs" dxfId="173" priority="13" operator="equal">
      <formula>7</formula>
    </cfRule>
    <cfRule type="cellIs" dxfId="172" priority="14" operator="equal">
      <formula>2</formula>
    </cfRule>
    <cfRule type="cellIs" dxfId="171" priority="15" operator="equal">
      <formula>5</formula>
    </cfRule>
    <cfRule type="cellIs" dxfId="170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3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169" priority="1" operator="equal">
      <formula>"X"</formula>
    </cfRule>
    <cfRule type="cellIs" dxfId="168" priority="2" operator="equal">
      <formula>"T"</formula>
    </cfRule>
    <cfRule type="cellIs" dxfId="167" priority="3" operator="equal">
      <formula>"A"</formula>
    </cfRule>
    <cfRule type="cellIs" dxfId="166" priority="4" operator="equal">
      <formula>"S"</formula>
    </cfRule>
    <cfRule type="cellIs" dxfId="165" priority="5" operator="equal">
      <formula>"H"</formula>
    </cfRule>
    <cfRule type="cellIs" dxfId="164" priority="6" operator="equal">
      <formula>9</formula>
    </cfRule>
    <cfRule type="cellIs" dxfId="163" priority="7" operator="equal">
      <formula>1</formula>
    </cfRule>
    <cfRule type="cellIs" dxfId="162" priority="16" operator="equal">
      <formula>YEAR(TODAY())</formula>
    </cfRule>
  </conditionalFormatting>
  <conditionalFormatting sqref="F19:AS23 C13">
    <cfRule type="cellIs" dxfId="161" priority="8" operator="equal">
      <formula>9</formula>
    </cfRule>
    <cfRule type="cellIs" dxfId="160" priority="9" operator="equal">
      <formula>8</formula>
    </cfRule>
    <cfRule type="cellIs" dxfId="159" priority="10" operator="equal">
      <formula>4</formula>
    </cfRule>
    <cfRule type="cellIs" dxfId="158" priority="11" operator="equal">
      <formula>6</formula>
    </cfRule>
    <cfRule type="cellIs" dxfId="157" priority="12" operator="equal">
      <formula>3</formula>
    </cfRule>
    <cfRule type="cellIs" dxfId="156" priority="13" operator="equal">
      <formula>7</formula>
    </cfRule>
    <cfRule type="cellIs" dxfId="155" priority="14" operator="equal">
      <formula>2</formula>
    </cfRule>
    <cfRule type="cellIs" dxfId="154" priority="15" operator="equal">
      <formula>5</formula>
    </cfRule>
    <cfRule type="cellIs" dxfId="153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4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152" priority="1" operator="equal">
      <formula>"X"</formula>
    </cfRule>
    <cfRule type="cellIs" dxfId="151" priority="2" operator="equal">
      <formula>"T"</formula>
    </cfRule>
    <cfRule type="cellIs" dxfId="150" priority="3" operator="equal">
      <formula>"A"</formula>
    </cfRule>
    <cfRule type="cellIs" dxfId="149" priority="4" operator="equal">
      <formula>"S"</formula>
    </cfRule>
    <cfRule type="cellIs" dxfId="148" priority="5" operator="equal">
      <formula>"H"</formula>
    </cfRule>
    <cfRule type="cellIs" dxfId="147" priority="6" operator="equal">
      <formula>9</formula>
    </cfRule>
    <cfRule type="cellIs" dxfId="146" priority="7" operator="equal">
      <formula>1</formula>
    </cfRule>
    <cfRule type="cellIs" dxfId="145" priority="16" operator="equal">
      <formula>YEAR(TODAY())</formula>
    </cfRule>
  </conditionalFormatting>
  <conditionalFormatting sqref="F19:AS23 C13">
    <cfRule type="cellIs" dxfId="144" priority="8" operator="equal">
      <formula>9</formula>
    </cfRule>
    <cfRule type="cellIs" dxfId="143" priority="9" operator="equal">
      <formula>8</formula>
    </cfRule>
    <cfRule type="cellIs" dxfId="142" priority="10" operator="equal">
      <formula>4</formula>
    </cfRule>
    <cfRule type="cellIs" dxfId="141" priority="11" operator="equal">
      <formula>6</formula>
    </cfRule>
    <cfRule type="cellIs" dxfId="140" priority="12" operator="equal">
      <formula>3</formula>
    </cfRule>
    <cfRule type="cellIs" dxfId="139" priority="13" operator="equal">
      <formula>7</formula>
    </cfRule>
    <cfRule type="cellIs" dxfId="138" priority="14" operator="equal">
      <formula>2</formula>
    </cfRule>
    <cfRule type="cellIs" dxfId="137" priority="15" operator="equal">
      <formula>5</formula>
    </cfRule>
    <cfRule type="cellIs" dxfId="136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5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135" priority="1" operator="equal">
      <formula>"X"</formula>
    </cfRule>
    <cfRule type="cellIs" dxfId="134" priority="2" operator="equal">
      <formula>"T"</formula>
    </cfRule>
    <cfRule type="cellIs" dxfId="133" priority="3" operator="equal">
      <formula>"A"</formula>
    </cfRule>
    <cfRule type="cellIs" dxfId="132" priority="4" operator="equal">
      <formula>"S"</formula>
    </cfRule>
    <cfRule type="cellIs" dxfId="131" priority="5" operator="equal">
      <formula>"H"</formula>
    </cfRule>
    <cfRule type="cellIs" dxfId="130" priority="6" operator="equal">
      <formula>9</formula>
    </cfRule>
    <cfRule type="cellIs" dxfId="129" priority="7" operator="equal">
      <formula>1</formula>
    </cfRule>
    <cfRule type="cellIs" dxfId="128" priority="16" operator="equal">
      <formula>YEAR(TODAY())</formula>
    </cfRule>
  </conditionalFormatting>
  <conditionalFormatting sqref="F19:AS23 C13">
    <cfRule type="cellIs" dxfId="127" priority="8" operator="equal">
      <formula>9</formula>
    </cfRule>
    <cfRule type="cellIs" dxfId="126" priority="9" operator="equal">
      <formula>8</formula>
    </cfRule>
    <cfRule type="cellIs" dxfId="125" priority="10" operator="equal">
      <formula>4</formula>
    </cfRule>
    <cfRule type="cellIs" dxfId="124" priority="11" operator="equal">
      <formula>6</formula>
    </cfRule>
    <cfRule type="cellIs" dxfId="123" priority="12" operator="equal">
      <formula>3</formula>
    </cfRule>
    <cfRule type="cellIs" dxfId="122" priority="13" operator="equal">
      <formula>7</formula>
    </cfRule>
    <cfRule type="cellIs" dxfId="121" priority="14" operator="equal">
      <formula>2</formula>
    </cfRule>
    <cfRule type="cellIs" dxfId="120" priority="15" operator="equal">
      <formula>5</formula>
    </cfRule>
    <cfRule type="cellIs" dxfId="119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6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118" priority="1" operator="equal">
      <formula>"X"</formula>
    </cfRule>
    <cfRule type="cellIs" dxfId="117" priority="2" operator="equal">
      <formula>"T"</formula>
    </cfRule>
    <cfRule type="cellIs" dxfId="116" priority="3" operator="equal">
      <formula>"A"</formula>
    </cfRule>
    <cfRule type="cellIs" dxfId="115" priority="4" operator="equal">
      <formula>"S"</formula>
    </cfRule>
    <cfRule type="cellIs" dxfId="114" priority="5" operator="equal">
      <formula>"H"</formula>
    </cfRule>
    <cfRule type="cellIs" dxfId="113" priority="6" operator="equal">
      <formula>9</formula>
    </cfRule>
    <cfRule type="cellIs" dxfId="112" priority="7" operator="equal">
      <formula>1</formula>
    </cfRule>
    <cfRule type="cellIs" dxfId="111" priority="16" operator="equal">
      <formula>YEAR(TODAY())</formula>
    </cfRule>
  </conditionalFormatting>
  <conditionalFormatting sqref="F19:AS23 C13">
    <cfRule type="cellIs" dxfId="110" priority="8" operator="equal">
      <formula>9</formula>
    </cfRule>
    <cfRule type="cellIs" dxfId="109" priority="9" operator="equal">
      <formula>8</formula>
    </cfRule>
    <cfRule type="cellIs" dxfId="108" priority="10" operator="equal">
      <formula>4</formula>
    </cfRule>
    <cfRule type="cellIs" dxfId="107" priority="11" operator="equal">
      <formula>6</formula>
    </cfRule>
    <cfRule type="cellIs" dxfId="106" priority="12" operator="equal">
      <formula>3</formula>
    </cfRule>
    <cfRule type="cellIs" dxfId="105" priority="13" operator="equal">
      <formula>7</formula>
    </cfRule>
    <cfRule type="cellIs" dxfId="104" priority="14" operator="equal">
      <formula>2</formula>
    </cfRule>
    <cfRule type="cellIs" dxfId="103" priority="15" operator="equal">
      <formula>5</formula>
    </cfRule>
    <cfRule type="cellIs" dxfId="102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7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101" priority="1" operator="equal">
      <formula>"X"</formula>
    </cfRule>
    <cfRule type="cellIs" dxfId="100" priority="2" operator="equal">
      <formula>"T"</formula>
    </cfRule>
    <cfRule type="cellIs" dxfId="99" priority="3" operator="equal">
      <formula>"A"</formula>
    </cfRule>
    <cfRule type="cellIs" dxfId="98" priority="4" operator="equal">
      <formula>"S"</formula>
    </cfRule>
    <cfRule type="cellIs" dxfId="97" priority="5" operator="equal">
      <formula>"H"</formula>
    </cfRule>
    <cfRule type="cellIs" dxfId="96" priority="6" operator="equal">
      <formula>9</formula>
    </cfRule>
    <cfRule type="cellIs" dxfId="95" priority="7" operator="equal">
      <formula>1</formula>
    </cfRule>
    <cfRule type="cellIs" dxfId="94" priority="16" operator="equal">
      <formula>YEAR(TODAY())</formula>
    </cfRule>
  </conditionalFormatting>
  <conditionalFormatting sqref="F19:AS23 C13">
    <cfRule type="cellIs" dxfId="93" priority="8" operator="equal">
      <formula>9</formula>
    </cfRule>
    <cfRule type="cellIs" dxfId="92" priority="9" operator="equal">
      <formula>8</formula>
    </cfRule>
    <cfRule type="cellIs" dxfId="91" priority="10" operator="equal">
      <formula>4</formula>
    </cfRule>
    <cfRule type="cellIs" dxfId="90" priority="11" operator="equal">
      <formula>6</formula>
    </cfRule>
    <cfRule type="cellIs" dxfId="89" priority="12" operator="equal">
      <formula>3</formula>
    </cfRule>
    <cfRule type="cellIs" dxfId="88" priority="13" operator="equal">
      <formula>7</formula>
    </cfRule>
    <cfRule type="cellIs" dxfId="87" priority="14" operator="equal">
      <formula>2</formula>
    </cfRule>
    <cfRule type="cellIs" dxfId="86" priority="15" operator="equal">
      <formula>5</formula>
    </cfRule>
    <cfRule type="cellIs" dxfId="85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8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84" priority="1" operator="equal">
      <formula>"X"</formula>
    </cfRule>
    <cfRule type="cellIs" dxfId="83" priority="2" operator="equal">
      <formula>"T"</formula>
    </cfRule>
    <cfRule type="cellIs" dxfId="82" priority="3" operator="equal">
      <formula>"A"</formula>
    </cfRule>
    <cfRule type="cellIs" dxfId="81" priority="4" operator="equal">
      <formula>"S"</formula>
    </cfRule>
    <cfRule type="cellIs" dxfId="80" priority="5" operator="equal">
      <formula>"H"</formula>
    </cfRule>
    <cfRule type="cellIs" dxfId="79" priority="6" operator="equal">
      <formula>9</formula>
    </cfRule>
    <cfRule type="cellIs" dxfId="78" priority="7" operator="equal">
      <formula>1</formula>
    </cfRule>
    <cfRule type="cellIs" dxfId="77" priority="16" operator="equal">
      <formula>YEAR(TODAY())</formula>
    </cfRule>
  </conditionalFormatting>
  <conditionalFormatting sqref="F19:AS23 C13">
    <cfRule type="cellIs" dxfId="76" priority="8" operator="equal">
      <formula>9</formula>
    </cfRule>
    <cfRule type="cellIs" dxfId="75" priority="9" operator="equal">
      <formula>8</formula>
    </cfRule>
    <cfRule type="cellIs" dxfId="74" priority="10" operator="equal">
      <formula>4</formula>
    </cfRule>
    <cfRule type="cellIs" dxfId="73" priority="11" operator="equal">
      <formula>6</formula>
    </cfRule>
    <cfRule type="cellIs" dxfId="72" priority="12" operator="equal">
      <formula>3</formula>
    </cfRule>
    <cfRule type="cellIs" dxfId="71" priority="13" operator="equal">
      <formula>7</formula>
    </cfRule>
    <cfRule type="cellIs" dxfId="70" priority="14" operator="equal">
      <formula>2</formula>
    </cfRule>
    <cfRule type="cellIs" dxfId="69" priority="15" operator="equal">
      <formula>5</formula>
    </cfRule>
    <cfRule type="cellIs" dxfId="68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9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67" priority="1" operator="equal">
      <formula>"X"</formula>
    </cfRule>
    <cfRule type="cellIs" dxfId="66" priority="2" operator="equal">
      <formula>"T"</formula>
    </cfRule>
    <cfRule type="cellIs" dxfId="65" priority="3" operator="equal">
      <formula>"A"</formula>
    </cfRule>
    <cfRule type="cellIs" dxfId="64" priority="4" operator="equal">
      <formula>"S"</formula>
    </cfRule>
    <cfRule type="cellIs" dxfId="63" priority="5" operator="equal">
      <formula>"H"</formula>
    </cfRule>
    <cfRule type="cellIs" dxfId="62" priority="6" operator="equal">
      <formula>9</formula>
    </cfRule>
    <cfRule type="cellIs" dxfId="61" priority="7" operator="equal">
      <formula>1</formula>
    </cfRule>
    <cfRule type="cellIs" dxfId="60" priority="16" operator="equal">
      <formula>YEAR(TODAY())</formula>
    </cfRule>
  </conditionalFormatting>
  <conditionalFormatting sqref="F19:AS23 C13">
    <cfRule type="cellIs" dxfId="59" priority="8" operator="equal">
      <formula>9</formula>
    </cfRule>
    <cfRule type="cellIs" dxfId="58" priority="9" operator="equal">
      <formula>8</formula>
    </cfRule>
    <cfRule type="cellIs" dxfId="57" priority="10" operator="equal">
      <formula>4</formula>
    </cfRule>
    <cfRule type="cellIs" dxfId="56" priority="11" operator="equal">
      <formula>6</formula>
    </cfRule>
    <cfRule type="cellIs" dxfId="55" priority="12" operator="equal">
      <formula>3</formula>
    </cfRule>
    <cfRule type="cellIs" dxfId="54" priority="13" operator="equal">
      <formula>7</formula>
    </cfRule>
    <cfRule type="cellIs" dxfId="53" priority="14" operator="equal">
      <formula>2</formula>
    </cfRule>
    <cfRule type="cellIs" dxfId="52" priority="15" operator="equal">
      <formula>5</formula>
    </cfRule>
    <cfRule type="cellIs" dxfId="51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0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50" priority="1" operator="equal">
      <formula>"X"</formula>
    </cfRule>
    <cfRule type="cellIs" dxfId="49" priority="2" operator="equal">
      <formula>"T"</formula>
    </cfRule>
    <cfRule type="cellIs" dxfId="48" priority="3" operator="equal">
      <formula>"A"</formula>
    </cfRule>
    <cfRule type="cellIs" dxfId="47" priority="4" operator="equal">
      <formula>"S"</formula>
    </cfRule>
    <cfRule type="cellIs" dxfId="46" priority="5" operator="equal">
      <formula>"H"</formula>
    </cfRule>
    <cfRule type="cellIs" dxfId="45" priority="6" operator="equal">
      <formula>9</formula>
    </cfRule>
    <cfRule type="cellIs" dxfId="44" priority="7" operator="equal">
      <formula>1</formula>
    </cfRule>
    <cfRule type="cellIs" dxfId="43" priority="16" operator="equal">
      <formula>YEAR(TODAY())</formula>
    </cfRule>
  </conditionalFormatting>
  <conditionalFormatting sqref="F19:AS23 C13">
    <cfRule type="cellIs" dxfId="42" priority="8" operator="equal">
      <formula>9</formula>
    </cfRule>
    <cfRule type="cellIs" dxfId="41" priority="9" operator="equal">
      <formula>8</formula>
    </cfRule>
    <cfRule type="cellIs" dxfId="40" priority="10" operator="equal">
      <formula>4</formula>
    </cfRule>
    <cfRule type="cellIs" dxfId="39" priority="11" operator="equal">
      <formula>6</formula>
    </cfRule>
    <cfRule type="cellIs" dxfId="38" priority="12" operator="equal">
      <formula>3</formula>
    </cfRule>
    <cfRule type="cellIs" dxfId="37" priority="13" operator="equal">
      <formula>7</formula>
    </cfRule>
    <cfRule type="cellIs" dxfId="36" priority="14" operator="equal">
      <formula>2</formula>
    </cfRule>
    <cfRule type="cellIs" dxfId="35" priority="15" operator="equal">
      <formula>5</formula>
    </cfRule>
    <cfRule type="cellIs" dxfId="34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1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33" priority="1" operator="equal">
      <formula>"X"</formula>
    </cfRule>
    <cfRule type="cellIs" dxfId="32" priority="2" operator="equal">
      <formula>"T"</formula>
    </cfRule>
    <cfRule type="cellIs" dxfId="31" priority="3" operator="equal">
      <formula>"A"</formula>
    </cfRule>
    <cfRule type="cellIs" dxfId="30" priority="4" operator="equal">
      <formula>"S"</formula>
    </cfRule>
    <cfRule type="cellIs" dxfId="29" priority="5" operator="equal">
      <formula>"H"</formula>
    </cfRule>
    <cfRule type="cellIs" dxfId="28" priority="6" operator="equal">
      <formula>9</formula>
    </cfRule>
    <cfRule type="cellIs" dxfId="27" priority="7" operator="equal">
      <formula>1</formula>
    </cfRule>
    <cfRule type="cellIs" dxfId="26" priority="16" operator="equal">
      <formula>YEAR(TODAY())</formula>
    </cfRule>
  </conditionalFormatting>
  <conditionalFormatting sqref="F19:AS23 C13">
    <cfRule type="cellIs" dxfId="25" priority="8" operator="equal">
      <formula>9</formula>
    </cfRule>
    <cfRule type="cellIs" dxfId="24" priority="9" operator="equal">
      <formula>8</formula>
    </cfRule>
    <cfRule type="cellIs" dxfId="23" priority="10" operator="equal">
      <formula>4</formula>
    </cfRule>
    <cfRule type="cellIs" dxfId="22" priority="11" operator="equal">
      <formula>6</formula>
    </cfRule>
    <cfRule type="cellIs" dxfId="21" priority="12" operator="equal">
      <formula>3</formula>
    </cfRule>
    <cfRule type="cellIs" dxfId="20" priority="13" operator="equal">
      <formula>7</formula>
    </cfRule>
    <cfRule type="cellIs" dxfId="19" priority="14" operator="equal">
      <formula>2</formula>
    </cfRule>
    <cfRule type="cellIs" dxfId="18" priority="15" operator="equal">
      <formula>5</formula>
    </cfRule>
    <cfRule type="cellIs" dxfId="17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2"/>
  <dimension ref="A1:AX24"/>
  <sheetViews>
    <sheetView showGridLines="0" zoomScale="85" zoomScaleNormal="85" zoomScaleSheetLayoutView="100" workbookViewId="0">
      <selection activeCell="AP4" sqref="AP4:AS4"/>
    </sheetView>
  </sheetViews>
  <sheetFormatPr defaultColWidth="0" defaultRowHeight="15" customHeight="1" zeroHeight="1" x14ac:dyDescent="0.25"/>
  <cols>
    <col min="1" max="1" width="1.140625" customWidth="1"/>
    <col min="2" max="4" width="9.42578125" customWidth="1"/>
    <col min="5" max="5" width="1.28515625" customWidth="1"/>
    <col min="6" max="6" width="6.85546875" customWidth="1"/>
    <col min="7" max="7" width="3" hidden="1" customWidth="1"/>
    <col min="8" max="8" width="3" customWidth="1"/>
    <col min="9" max="10" width="6.85546875" customWidth="1"/>
    <col min="11" max="11" width="3" hidden="1" customWidth="1"/>
    <col min="12" max="12" width="3" customWidth="1"/>
    <col min="13" max="14" width="6.85546875" customWidth="1"/>
    <col min="15" max="15" width="3" hidden="1" customWidth="1"/>
    <col min="16" max="16" width="3" customWidth="1"/>
    <col min="17" max="18" width="6.85546875" customWidth="1"/>
    <col min="19" max="19" width="3" hidden="1" customWidth="1"/>
    <col min="20" max="20" width="3" customWidth="1"/>
    <col min="21" max="22" width="6.85546875" customWidth="1"/>
    <col min="23" max="23" width="3" hidden="1" customWidth="1"/>
    <col min="24" max="24" width="3" customWidth="1"/>
    <col min="25" max="26" width="6.85546875" customWidth="1"/>
    <col min="27" max="27" width="3" hidden="1" customWidth="1"/>
    <col min="28" max="28" width="3" customWidth="1"/>
    <col min="29" max="30" width="6.85546875" customWidth="1"/>
    <col min="31" max="31" width="3" hidden="1" customWidth="1"/>
    <col min="32" max="32" width="3" customWidth="1"/>
    <col min="33" max="34" width="6.85546875" customWidth="1"/>
    <col min="35" max="35" width="3" hidden="1" customWidth="1"/>
    <col min="36" max="36" width="3" customWidth="1"/>
    <col min="37" max="38" width="6.85546875" customWidth="1"/>
    <col min="39" max="39" width="3" hidden="1" customWidth="1"/>
    <col min="40" max="40" width="3" customWidth="1"/>
    <col min="41" max="42" width="6.85546875" customWidth="1"/>
    <col min="43" max="43" width="3" hidden="1" customWidth="1"/>
    <col min="44" max="44" width="3" customWidth="1"/>
    <col min="45" max="45" width="6.85546875" customWidth="1"/>
    <col min="46" max="46" width="1.140625" customWidth="1"/>
    <col min="47" max="47" width="6.28515625" hidden="1" customWidth="1"/>
    <col min="48" max="48" width="6.28515625" style="9" hidden="1" customWidth="1"/>
    <col min="49" max="50" width="6.28515625" hidden="1" customWidth="1"/>
    <col min="51" max="16384" width="9.140625" hidden="1"/>
  </cols>
  <sheetData>
    <row r="1" spans="1:50" ht="5.2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50" ht="17.25" customHeight="1" thickTop="1" thickBot="1" x14ac:dyDescent="0.3">
      <c r="A2" s="1"/>
      <c r="B2" s="19" t="s">
        <v>0</v>
      </c>
      <c r="C2" s="19" t="s">
        <v>1</v>
      </c>
      <c r="D2" s="19" t="s">
        <v>2</v>
      </c>
      <c r="E2" s="1"/>
      <c r="F2" s="118" t="s">
        <v>23</v>
      </c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20"/>
      <c r="AT2" s="1"/>
    </row>
    <row r="3" spans="1:50" ht="22.5" customHeight="1" thickTop="1" thickBot="1" x14ac:dyDescent="0.3">
      <c r="A3" s="1"/>
      <c r="B3" s="20">
        <v>1</v>
      </c>
      <c r="C3" s="21">
        <v>1</v>
      </c>
      <c r="D3" s="21">
        <v>1900</v>
      </c>
      <c r="E3" s="1"/>
      <c r="F3" s="121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3"/>
      <c r="AT3" s="1"/>
    </row>
    <row r="4" spans="1:50" ht="24.75" thickTop="1" thickBot="1" x14ac:dyDescent="0.3">
      <c r="A4" s="1"/>
      <c r="B4" s="2"/>
      <c r="C4" s="2"/>
      <c r="D4" s="2"/>
      <c r="E4" s="1"/>
      <c r="F4" s="126">
        <v>90</v>
      </c>
      <c r="G4" s="125"/>
      <c r="H4" s="125"/>
      <c r="I4" s="125"/>
      <c r="J4" s="124">
        <v>80</v>
      </c>
      <c r="K4" s="125"/>
      <c r="L4" s="125"/>
      <c r="M4" s="125"/>
      <c r="N4" s="124">
        <v>70</v>
      </c>
      <c r="O4" s="125"/>
      <c r="P4" s="125"/>
      <c r="Q4" s="125"/>
      <c r="R4" s="124">
        <v>60</v>
      </c>
      <c r="S4" s="125"/>
      <c r="T4" s="125"/>
      <c r="U4" s="125"/>
      <c r="V4" s="124">
        <v>50</v>
      </c>
      <c r="W4" s="125"/>
      <c r="X4" s="125"/>
      <c r="Y4" s="125"/>
      <c r="Z4" s="124">
        <v>40</v>
      </c>
      <c r="AA4" s="125"/>
      <c r="AB4" s="125"/>
      <c r="AC4" s="125"/>
      <c r="AD4" s="124">
        <v>30</v>
      </c>
      <c r="AE4" s="125"/>
      <c r="AF4" s="125"/>
      <c r="AG4" s="125"/>
      <c r="AH4" s="124">
        <v>20</v>
      </c>
      <c r="AI4" s="125"/>
      <c r="AJ4" s="125"/>
      <c r="AK4" s="125"/>
      <c r="AL4" s="124">
        <v>10</v>
      </c>
      <c r="AM4" s="125"/>
      <c r="AN4" s="125"/>
      <c r="AO4" s="125"/>
      <c r="AP4" s="124">
        <v>0</v>
      </c>
      <c r="AQ4" s="125"/>
      <c r="AR4" s="125"/>
      <c r="AS4" s="127"/>
      <c r="AT4" s="1"/>
    </row>
    <row r="5" spans="1:50" ht="16.5" customHeight="1" thickTop="1" thickBot="1" x14ac:dyDescent="0.3">
      <c r="A5" s="1"/>
      <c r="B5" s="3">
        <f>SumDigits(B3)</f>
        <v>1</v>
      </c>
      <c r="C5" s="3">
        <f>SumDigits(C3)</f>
        <v>1</v>
      </c>
      <c r="D5" s="3">
        <f>SumDigits(D3)</f>
        <v>10</v>
      </c>
      <c r="E5" s="1"/>
      <c r="F5" s="43" t="s">
        <v>3</v>
      </c>
      <c r="G5" s="44"/>
      <c r="H5" s="45"/>
      <c r="I5" s="44" t="s">
        <v>4</v>
      </c>
      <c r="J5" s="46" t="s">
        <v>3</v>
      </c>
      <c r="K5" s="44"/>
      <c r="L5" s="44"/>
      <c r="M5" s="47" t="s">
        <v>4</v>
      </c>
      <c r="N5" s="46" t="s">
        <v>3</v>
      </c>
      <c r="O5" s="44"/>
      <c r="P5" s="44"/>
      <c r="Q5" s="47" t="s">
        <v>4</v>
      </c>
      <c r="R5" s="46" t="s">
        <v>3</v>
      </c>
      <c r="S5" s="44"/>
      <c r="T5" s="44"/>
      <c r="U5" s="47" t="s">
        <v>4</v>
      </c>
      <c r="V5" s="46" t="s">
        <v>3</v>
      </c>
      <c r="W5" s="44"/>
      <c r="X5" s="44"/>
      <c r="Y5" s="47" t="s">
        <v>4</v>
      </c>
      <c r="Z5" s="46" t="s">
        <v>3</v>
      </c>
      <c r="AA5" s="44"/>
      <c r="AB5" s="44"/>
      <c r="AC5" s="47" t="s">
        <v>4</v>
      </c>
      <c r="AD5" s="46" t="s">
        <v>3</v>
      </c>
      <c r="AE5" s="44"/>
      <c r="AF5" s="44"/>
      <c r="AG5" s="47" t="s">
        <v>4</v>
      </c>
      <c r="AH5" s="46" t="s">
        <v>3</v>
      </c>
      <c r="AI5" s="44"/>
      <c r="AJ5" s="44"/>
      <c r="AK5" s="47" t="s">
        <v>4</v>
      </c>
      <c r="AL5" s="46" t="s">
        <v>3</v>
      </c>
      <c r="AM5" s="44"/>
      <c r="AN5" s="44"/>
      <c r="AO5" s="47" t="s">
        <v>4</v>
      </c>
      <c r="AP5" s="44" t="s">
        <v>3</v>
      </c>
      <c r="AQ5" s="44"/>
      <c r="AR5" s="44"/>
      <c r="AS5" s="48" t="s">
        <v>4</v>
      </c>
      <c r="AT5" s="1"/>
    </row>
    <row r="6" spans="1:50" ht="17.25" customHeight="1" thickTop="1" thickBot="1" x14ac:dyDescent="0.3">
      <c r="A6" s="1"/>
      <c r="B6" s="4"/>
      <c r="C6" s="4"/>
      <c r="E6" s="1"/>
      <c r="F6" s="26">
        <f>J6+10</f>
        <v>1990</v>
      </c>
      <c r="G6" s="27">
        <f>MOD(IF(AND(I6=1,M15=9),K15+1,K15),4)</f>
        <v>1</v>
      </c>
      <c r="H6" s="28" t="str">
        <f>IF(G6=0,"H","")&amp;IF(G6=1,"S","")&amp;IF(G6=2,"A","")&amp;IF(G6=3,"T","")</f>
        <v>S</v>
      </c>
      <c r="I6" s="27">
        <f>IF(MOD(M15+1,10)=0,1,MOD(M15+1,10))</f>
        <v>3</v>
      </c>
      <c r="J6" s="29">
        <f>N6+10</f>
        <v>1980</v>
      </c>
      <c r="K6" s="27">
        <f>MOD(IF(AND(M6=1,Q15=9),O15+1,O15),4)</f>
        <v>0</v>
      </c>
      <c r="L6" s="28" t="str">
        <f>IF(K6=0,"H","")&amp;IF(K6=1,"S","")&amp;IF(K6=2,"A","")&amp;IF(K6=3,"T","")</f>
        <v>H</v>
      </c>
      <c r="M6" s="27">
        <f>IF(MOD(Q15+1,10)=0,1,MOD(Q15+1,10))</f>
        <v>2</v>
      </c>
      <c r="N6" s="29">
        <f>R6+10</f>
        <v>1970</v>
      </c>
      <c r="O6" s="27">
        <f>MOD(IF(AND(Q6=1,U15=9),S15+1,S15),4)</f>
        <v>3</v>
      </c>
      <c r="P6" s="28" t="str">
        <f>IF(O6=0,"H","")&amp;IF(O6=1,"S","")&amp;IF(O6=2,"A","")&amp;IF(O6=3,"T","")</f>
        <v>T</v>
      </c>
      <c r="Q6" s="27">
        <f>IF(MOD(U15+1,10)=0,1,MOD(U15+1,10))</f>
        <v>1</v>
      </c>
      <c r="R6" s="29">
        <f>V6+10</f>
        <v>1960</v>
      </c>
      <c r="S6" s="27">
        <f>MOD(IF(AND(U6=1,Y15=9),W15+1,W15),4)</f>
        <v>1</v>
      </c>
      <c r="T6" s="28" t="str">
        <f>IF(S6=0,"H","")&amp;IF(S6=1,"S","")&amp;IF(S6=2,"A","")&amp;IF(S6=3,"T","")</f>
        <v>S</v>
      </c>
      <c r="U6" s="27">
        <f>IF(MOD(Y15+1,10)=0,1,MOD(Y15+1,10))</f>
        <v>9</v>
      </c>
      <c r="V6" s="29">
        <f>Z6+10</f>
        <v>1950</v>
      </c>
      <c r="W6" s="27">
        <f>MOD(IF(AND(Y6=1,AC15=9),AA15+1,AA15),4)</f>
        <v>0</v>
      </c>
      <c r="X6" s="28" t="str">
        <f>IF(W6=0,"H","")&amp;IF(W6=1,"S","")&amp;IF(W6=2,"A","")&amp;IF(W6=3,"T","")</f>
        <v>H</v>
      </c>
      <c r="Y6" s="30">
        <f>IF(MOD(AC15+1,10)=0,1,MOD(AC15+1,10))</f>
        <v>8</v>
      </c>
      <c r="Z6" s="29">
        <f>AD6+10</f>
        <v>1940</v>
      </c>
      <c r="AA6" s="27">
        <f>MOD(IF(AND(AC6=1,AG15=9),AE15+1,AE15),4)</f>
        <v>3</v>
      </c>
      <c r="AB6" s="28" t="str">
        <f>IF(AA6=0,"H","")&amp;IF(AA6=1,"S","")&amp;IF(AA6=2,"A","")&amp;IF(AA6=3,"T","")</f>
        <v>T</v>
      </c>
      <c r="AC6" s="30">
        <f>IF(MOD(AG15+1,10)=0,1,MOD(AG15+1,10))</f>
        <v>7</v>
      </c>
      <c r="AD6" s="29">
        <f>AH6+10</f>
        <v>1930</v>
      </c>
      <c r="AE6" s="27">
        <f>MOD(IF(AND(AG6=1,AK15=9),AI15+1,AI15),4)</f>
        <v>2</v>
      </c>
      <c r="AF6" s="28" t="str">
        <f>IF(AE6=0,"H","")&amp;IF(AE6=1,"S","")&amp;IF(AE6=2,"A","")&amp;IF(AE6=3,"T","")</f>
        <v>A</v>
      </c>
      <c r="AG6" s="30">
        <f>IF(MOD(AK15+1,10)=0,1,MOD(AK15+1,10))</f>
        <v>6</v>
      </c>
      <c r="AH6" s="29">
        <f>AL6+10</f>
        <v>1920</v>
      </c>
      <c r="AI6" s="27">
        <f>MOD(IF(AND(AK6=1,AO15=9),AM15+1,AM15),4)</f>
        <v>1</v>
      </c>
      <c r="AJ6" s="28" t="str">
        <f>IF(AI6=0,"H","")&amp;IF(AI6=1,"S","")&amp;IF(AI6=2,"A","")&amp;IF(AI6=3,"T","")</f>
        <v>S</v>
      </c>
      <c r="AK6" s="30">
        <f>IF(MOD(AO15+1,10)=0,1,MOD(AO15+1,10))</f>
        <v>5</v>
      </c>
      <c r="AL6" s="29">
        <f>AP6+10</f>
        <v>1910</v>
      </c>
      <c r="AM6" s="27">
        <f>MOD(IF(AND(AO6=1,AS15=9),AQ15+1,AQ15),4)</f>
        <v>0</v>
      </c>
      <c r="AN6" s="28" t="str">
        <f>IF(AM6=0,"H","")&amp;IF(AM6=1,"S","")&amp;IF(AM6=2,"A","")&amp;IF(AM6=3,"T","")</f>
        <v>H</v>
      </c>
      <c r="AO6" s="30">
        <f>IF(MOD(AS15+1,10)=0,1,MOD(AS15+1,10))</f>
        <v>4</v>
      </c>
      <c r="AP6" s="29">
        <f>$D$3</f>
        <v>1900</v>
      </c>
      <c r="AQ6" s="27">
        <f>IF(AND(AP$4=0,AS6=1),0,-1)</f>
        <v>-1</v>
      </c>
      <c r="AR6" s="28" t="str">
        <f>IF(AQ6=-1,"X","")&amp;IF(AQ6=0,"H","")&amp;IF(AQ6=1,"S","")&amp;IF(AQ6=2,"A","")&amp;IF(AQ6=3,"T","")</f>
        <v>X</v>
      </c>
      <c r="AS6" s="31">
        <f>MOD($C$13+(AP6-$D$3),10)</f>
        <v>3</v>
      </c>
      <c r="AT6" s="1"/>
    </row>
    <row r="7" spans="1:50" ht="17.25" customHeight="1" thickTop="1" thickBot="1" x14ac:dyDescent="0.3">
      <c r="A7" s="1"/>
      <c r="B7" s="3">
        <f>SumDigits(B5)</f>
        <v>1</v>
      </c>
      <c r="C7" s="6"/>
      <c r="D7" s="3">
        <f>SumDigits(SumDigits(D5))</f>
        <v>1</v>
      </c>
      <c r="E7" s="1"/>
      <c r="F7" s="32">
        <f t="shared" ref="F7:F15" si="0">F6+1</f>
        <v>1991</v>
      </c>
      <c r="G7" s="33">
        <f>MOD(IF(AND(I7=1,I6=9),G6+1,G6),4)</f>
        <v>1</v>
      </c>
      <c r="H7" s="28" t="str">
        <f>IF(G7=0,"H","")&amp;IF(G7=1,"S","")&amp;IF(G7=2,"A","")&amp;IF(G7=3,"T","")</f>
        <v>S</v>
      </c>
      <c r="I7" s="33">
        <f t="shared" ref="I7:I15" si="1">IF(MOD(I6+1,10)=0,1,MOD(I6+1,10))</f>
        <v>4</v>
      </c>
      <c r="J7" s="34">
        <f t="shared" ref="J7:J15" si="2">J6+1</f>
        <v>1981</v>
      </c>
      <c r="K7" s="33">
        <f>MOD(IF(AND(M7=1,M6=9),K6+1,K6),4)</f>
        <v>0</v>
      </c>
      <c r="L7" s="28" t="str">
        <f>IF(K7=0,"H","")&amp;IF(K7=1,"S","")&amp;IF(K7=2,"A","")&amp;IF(K7=3,"T","")</f>
        <v>H</v>
      </c>
      <c r="M7" s="33">
        <f>IF(MOD(M6+1,10)=0,1,MOD(M6+1,10))</f>
        <v>3</v>
      </c>
      <c r="N7" s="34">
        <f t="shared" ref="N7:N15" si="3">N6+1</f>
        <v>1971</v>
      </c>
      <c r="O7" s="33">
        <f>MOD(IF(AND(Q7=1,Q6=9),O6+1,O6),4)</f>
        <v>3</v>
      </c>
      <c r="P7" s="28" t="str">
        <f>IF(O7=0,"H","")&amp;IF(O7=1,"S","")&amp;IF(O7=2,"A","")&amp;IF(O7=3,"T","")</f>
        <v>T</v>
      </c>
      <c r="Q7" s="33">
        <f>IF(MOD(Q6+1,10)=0,1,MOD(Q6+1,10))</f>
        <v>2</v>
      </c>
      <c r="R7" s="34">
        <f t="shared" ref="R7:R15" si="4">R6+1</f>
        <v>1961</v>
      </c>
      <c r="S7" s="33">
        <f>MOD(IF(AND(U7=1,U6=9),S6+1,S6),4)</f>
        <v>2</v>
      </c>
      <c r="T7" s="28" t="str">
        <f>IF(S7=0,"H","")&amp;IF(S7=1,"S","")&amp;IF(S7=2,"A","")&amp;IF(S7=3,"T","")</f>
        <v>A</v>
      </c>
      <c r="U7" s="33">
        <f>IF(MOD(U6+1,10)=0,1,MOD(U6+1,10))</f>
        <v>1</v>
      </c>
      <c r="V7" s="34">
        <f t="shared" ref="V7:V15" si="5">V6+1</f>
        <v>1951</v>
      </c>
      <c r="W7" s="33">
        <f>MOD(IF(AND(Y7=1,Y6=9),W6+1,W6),4)</f>
        <v>0</v>
      </c>
      <c r="X7" s="28" t="str">
        <f>IF(W7=0,"H","")&amp;IF(W7=1,"S","")&amp;IF(W7=2,"A","")&amp;IF(W7=3,"T","")</f>
        <v>H</v>
      </c>
      <c r="Y7" s="35">
        <f>IF(MOD(Y6+1,10)=0,1,MOD(Y6+1,10))</f>
        <v>9</v>
      </c>
      <c r="Z7" s="34">
        <f t="shared" ref="Z7:Z15" si="6">Z6+1</f>
        <v>1941</v>
      </c>
      <c r="AA7" s="33">
        <f>MOD(IF(AND(AC7=1,AC6=9),AA6+1,AA6),4)</f>
        <v>3</v>
      </c>
      <c r="AB7" s="28" t="str">
        <f>IF(AA7=0,"H","")&amp;IF(AA7=1,"S","")&amp;IF(AA7=2,"A","")&amp;IF(AA7=3,"T","")</f>
        <v>T</v>
      </c>
      <c r="AC7" s="35">
        <f>IF(MOD(AC6+1,10)=0,1,MOD(AC6+1,10))</f>
        <v>8</v>
      </c>
      <c r="AD7" s="34">
        <f t="shared" ref="AD7:AD15" si="7">AD6+1</f>
        <v>1931</v>
      </c>
      <c r="AE7" s="33">
        <f>MOD(IF(AND(AG7=1,AG6=9),AE6+1,AE6),4)</f>
        <v>2</v>
      </c>
      <c r="AF7" s="28" t="str">
        <f>IF(AE7=0,"H","")&amp;IF(AE7=1,"S","")&amp;IF(AE7=2,"A","")&amp;IF(AE7=3,"T","")</f>
        <v>A</v>
      </c>
      <c r="AG7" s="35">
        <f>IF(MOD(AG6+1,10)=0,1,MOD(AG6+1,10))</f>
        <v>7</v>
      </c>
      <c r="AH7" s="34">
        <f t="shared" ref="AH7:AH15" si="8">AH6+1</f>
        <v>1921</v>
      </c>
      <c r="AI7" s="33">
        <f>MOD(IF(AND(AK7=1,AK6=9),AI6+1,AI6),4)</f>
        <v>1</v>
      </c>
      <c r="AJ7" s="28" t="str">
        <f>IF(AI7=0,"H","")&amp;IF(AI7=1,"S","")&amp;IF(AI7=2,"A","")&amp;IF(AI7=3,"T","")</f>
        <v>S</v>
      </c>
      <c r="AK7" s="35">
        <f>IF(MOD(AK6+1,10)=0,1,MOD(AK6+1,10))</f>
        <v>6</v>
      </c>
      <c r="AL7" s="34">
        <f t="shared" ref="AL7:AL15" si="9">AL6+1</f>
        <v>1911</v>
      </c>
      <c r="AM7" s="33">
        <f>MOD(IF(AND(AO7=1,AO6=9),AM6+1,AM6),4)</f>
        <v>0</v>
      </c>
      <c r="AN7" s="28" t="str">
        <f>IF(AM7=0,"H","")&amp;IF(AM7=1,"S","")&amp;IF(AM7=2,"A","")&amp;IF(AM7=3,"T","")</f>
        <v>H</v>
      </c>
      <c r="AO7" s="35">
        <f>IF(MOD(AO6+1,10)=0,1,MOD(AO6+1,10))</f>
        <v>5</v>
      </c>
      <c r="AP7" s="34">
        <f>AP6+1</f>
        <v>1901</v>
      </c>
      <c r="AQ7" s="33">
        <f>IF(AND(AP$4=0,AS7=1,AS6=9),AQ6+1,AQ6)</f>
        <v>-1</v>
      </c>
      <c r="AR7" s="28" t="str">
        <f>IF(AQ7=-1,"X","")&amp;IF(AQ7=0,"H","")&amp;IF(AQ7=1,"S","")&amp;IF(AQ7=2,"A","")&amp;IF(AQ7=3,"T","")</f>
        <v>X</v>
      </c>
      <c r="AS7" s="36">
        <f>IF(MOD(AS6+1,10)=0,1,MOD(AS6+1,10))</f>
        <v>4</v>
      </c>
      <c r="AT7" s="1"/>
    </row>
    <row r="8" spans="1:50" ht="17.25" customHeight="1" thickTop="1" x14ac:dyDescent="0.25">
      <c r="A8" s="1"/>
      <c r="B8" s="4"/>
      <c r="C8" s="4"/>
      <c r="D8" s="4"/>
      <c r="E8" s="1"/>
      <c r="F8" s="32">
        <f t="shared" si="0"/>
        <v>1992</v>
      </c>
      <c r="G8" s="33">
        <f t="shared" ref="G8:G15" si="10">MOD(IF(AND(I8=1,I7=9),G7+1,G7),4)</f>
        <v>1</v>
      </c>
      <c r="H8" s="28" t="str">
        <f t="shared" ref="H8:H15" si="11">IF(G8=0,"H","")&amp;IF(G8=1,"S","")&amp;IF(G8=2,"A","")&amp;IF(G8=3,"T","")</f>
        <v>S</v>
      </c>
      <c r="I8" s="33">
        <f t="shared" si="1"/>
        <v>5</v>
      </c>
      <c r="J8" s="34">
        <f t="shared" si="2"/>
        <v>1982</v>
      </c>
      <c r="K8" s="33">
        <f t="shared" ref="K8:K15" si="12">MOD(IF(AND(M8=1,M7=9),K7+1,K7),4)</f>
        <v>0</v>
      </c>
      <c r="L8" s="28" t="str">
        <f t="shared" ref="L8:L15" si="13">IF(K8=0,"H","")&amp;IF(K8=1,"S","")&amp;IF(K8=2,"A","")&amp;IF(K8=3,"T","")</f>
        <v>H</v>
      </c>
      <c r="M8" s="33">
        <f t="shared" ref="M8:AS15" si="14">IF(MOD(M7+1,10)=0,1,MOD(M7+1,10))</f>
        <v>4</v>
      </c>
      <c r="N8" s="34">
        <f t="shared" si="3"/>
        <v>1972</v>
      </c>
      <c r="O8" s="33">
        <f t="shared" ref="O8:O15" si="15">MOD(IF(AND(Q8=1,Q7=9),O7+1,O7),4)</f>
        <v>3</v>
      </c>
      <c r="P8" s="28" t="str">
        <f t="shared" ref="P8:P15" si="16">IF(O8=0,"H","")&amp;IF(O8=1,"S","")&amp;IF(O8=2,"A","")&amp;IF(O8=3,"T","")</f>
        <v>T</v>
      </c>
      <c r="Q8" s="33">
        <f t="shared" si="14"/>
        <v>3</v>
      </c>
      <c r="R8" s="34">
        <f t="shared" si="4"/>
        <v>1962</v>
      </c>
      <c r="S8" s="33">
        <f t="shared" ref="S8:S15" si="17">MOD(IF(AND(U8=1,U7=9),S7+1,S7),4)</f>
        <v>2</v>
      </c>
      <c r="T8" s="28" t="str">
        <f t="shared" ref="T8:T15" si="18">IF(S8=0,"H","")&amp;IF(S8=1,"S","")&amp;IF(S8=2,"A","")&amp;IF(S8=3,"T","")</f>
        <v>A</v>
      </c>
      <c r="U8" s="33">
        <f t="shared" si="14"/>
        <v>2</v>
      </c>
      <c r="V8" s="34">
        <f t="shared" si="5"/>
        <v>1952</v>
      </c>
      <c r="W8" s="33">
        <f t="shared" ref="W8:W15" si="19">MOD(IF(AND(Y8=1,Y7=9),W7+1,W7),4)</f>
        <v>1</v>
      </c>
      <c r="X8" s="28" t="str">
        <f t="shared" ref="X8:X15" si="20">IF(W8=0,"H","")&amp;IF(W8=1,"S","")&amp;IF(W8=2,"A","")&amp;IF(W8=3,"T","")</f>
        <v>S</v>
      </c>
      <c r="Y8" s="35">
        <f t="shared" si="14"/>
        <v>1</v>
      </c>
      <c r="Z8" s="34">
        <f t="shared" si="6"/>
        <v>1942</v>
      </c>
      <c r="AA8" s="33">
        <f t="shared" ref="AA8:AA15" si="21">MOD(IF(AND(AC8=1,AC7=9),AA7+1,AA7),4)</f>
        <v>3</v>
      </c>
      <c r="AB8" s="28" t="str">
        <f t="shared" ref="AB8:AB15" si="22">IF(AA8=0,"H","")&amp;IF(AA8=1,"S","")&amp;IF(AA8=2,"A","")&amp;IF(AA8=3,"T","")</f>
        <v>T</v>
      </c>
      <c r="AC8" s="35">
        <f t="shared" si="14"/>
        <v>9</v>
      </c>
      <c r="AD8" s="34">
        <f t="shared" si="7"/>
        <v>1932</v>
      </c>
      <c r="AE8" s="33">
        <f t="shared" ref="AE8:AE15" si="23">MOD(IF(AND(AG8=1,AG7=9),AE7+1,AE7),4)</f>
        <v>2</v>
      </c>
      <c r="AF8" s="28" t="str">
        <f t="shared" ref="AF8:AF15" si="24">IF(AE8=0,"H","")&amp;IF(AE8=1,"S","")&amp;IF(AE8=2,"A","")&amp;IF(AE8=3,"T","")</f>
        <v>A</v>
      </c>
      <c r="AG8" s="35">
        <f t="shared" si="14"/>
        <v>8</v>
      </c>
      <c r="AH8" s="34">
        <f t="shared" si="8"/>
        <v>1922</v>
      </c>
      <c r="AI8" s="33">
        <f t="shared" ref="AI8:AI15" si="25">MOD(IF(AND(AK8=1,AK7=9),AI7+1,AI7),4)</f>
        <v>1</v>
      </c>
      <c r="AJ8" s="28" t="str">
        <f t="shared" ref="AJ8:AJ15" si="26">IF(AI8=0,"H","")&amp;IF(AI8=1,"S","")&amp;IF(AI8=2,"A","")&amp;IF(AI8=3,"T","")</f>
        <v>S</v>
      </c>
      <c r="AK8" s="35">
        <f t="shared" si="14"/>
        <v>7</v>
      </c>
      <c r="AL8" s="34">
        <f t="shared" si="9"/>
        <v>1912</v>
      </c>
      <c r="AM8" s="33">
        <f t="shared" ref="AM8:AM15" si="27">MOD(IF(AND(AO8=1,AO7=9),AM7+1,AM7),4)</f>
        <v>0</v>
      </c>
      <c r="AN8" s="28" t="str">
        <f t="shared" ref="AN8:AN15" si="28">IF(AM8=0,"H","")&amp;IF(AM8=1,"S","")&amp;IF(AM8=2,"A","")&amp;IF(AM8=3,"T","")</f>
        <v>H</v>
      </c>
      <c r="AO8" s="35">
        <f t="shared" si="14"/>
        <v>6</v>
      </c>
      <c r="AP8" s="34">
        <f t="shared" ref="AP8:AP15" si="29">AP7+1</f>
        <v>1902</v>
      </c>
      <c r="AQ8" s="33">
        <f t="shared" ref="AQ8:AQ15" si="30">IF(AND(AP$4=0,AS8=1,AS7=9),AQ7+1,AQ7)</f>
        <v>-1</v>
      </c>
      <c r="AR8" s="28" t="str">
        <f t="shared" ref="AR8:AR15" si="31">IF(AQ8=-1,"X","")&amp;IF(AQ8=0,"H","")&amp;IF(AQ8=1,"S","")&amp;IF(AQ8=2,"A","")&amp;IF(AQ8=3,"T","")</f>
        <v>X</v>
      </c>
      <c r="AS8" s="36">
        <f t="shared" si="14"/>
        <v>5</v>
      </c>
      <c r="AT8" s="1"/>
      <c r="AW8" s="8"/>
      <c r="AX8" s="8"/>
    </row>
    <row r="9" spans="1:50" ht="17.25" customHeight="1" x14ac:dyDescent="0.25">
      <c r="A9" s="1"/>
      <c r="B9" s="4"/>
      <c r="C9" s="4"/>
      <c r="D9" s="4"/>
      <c r="E9" s="1"/>
      <c r="F9" s="32">
        <f t="shared" si="0"/>
        <v>1993</v>
      </c>
      <c r="G9" s="33">
        <f t="shared" si="10"/>
        <v>1</v>
      </c>
      <c r="H9" s="28" t="str">
        <f t="shared" si="11"/>
        <v>S</v>
      </c>
      <c r="I9" s="33">
        <f t="shared" si="1"/>
        <v>6</v>
      </c>
      <c r="J9" s="34">
        <f t="shared" si="2"/>
        <v>1983</v>
      </c>
      <c r="K9" s="33">
        <f t="shared" si="12"/>
        <v>0</v>
      </c>
      <c r="L9" s="28" t="str">
        <f t="shared" si="13"/>
        <v>H</v>
      </c>
      <c r="M9" s="33">
        <f t="shared" si="14"/>
        <v>5</v>
      </c>
      <c r="N9" s="34">
        <f t="shared" si="3"/>
        <v>1973</v>
      </c>
      <c r="O9" s="33">
        <f t="shared" si="15"/>
        <v>3</v>
      </c>
      <c r="P9" s="28" t="str">
        <f t="shared" si="16"/>
        <v>T</v>
      </c>
      <c r="Q9" s="33">
        <f t="shared" si="14"/>
        <v>4</v>
      </c>
      <c r="R9" s="34">
        <f t="shared" si="4"/>
        <v>1963</v>
      </c>
      <c r="S9" s="33">
        <f t="shared" si="17"/>
        <v>2</v>
      </c>
      <c r="T9" s="28" t="str">
        <f t="shared" si="18"/>
        <v>A</v>
      </c>
      <c r="U9" s="33">
        <f t="shared" si="14"/>
        <v>3</v>
      </c>
      <c r="V9" s="34">
        <f t="shared" si="5"/>
        <v>1953</v>
      </c>
      <c r="W9" s="33">
        <f t="shared" si="19"/>
        <v>1</v>
      </c>
      <c r="X9" s="28" t="str">
        <f t="shared" si="20"/>
        <v>S</v>
      </c>
      <c r="Y9" s="35">
        <f t="shared" si="14"/>
        <v>2</v>
      </c>
      <c r="Z9" s="34">
        <f t="shared" si="6"/>
        <v>1943</v>
      </c>
      <c r="AA9" s="33">
        <f t="shared" si="21"/>
        <v>0</v>
      </c>
      <c r="AB9" s="28" t="str">
        <f t="shared" si="22"/>
        <v>H</v>
      </c>
      <c r="AC9" s="35">
        <f t="shared" si="14"/>
        <v>1</v>
      </c>
      <c r="AD9" s="34">
        <f t="shared" si="7"/>
        <v>1933</v>
      </c>
      <c r="AE9" s="33">
        <f t="shared" si="23"/>
        <v>2</v>
      </c>
      <c r="AF9" s="28" t="str">
        <f t="shared" si="24"/>
        <v>A</v>
      </c>
      <c r="AG9" s="35">
        <f t="shared" si="14"/>
        <v>9</v>
      </c>
      <c r="AH9" s="34">
        <f t="shared" si="8"/>
        <v>1923</v>
      </c>
      <c r="AI9" s="33">
        <f t="shared" si="25"/>
        <v>1</v>
      </c>
      <c r="AJ9" s="28" t="str">
        <f t="shared" si="26"/>
        <v>S</v>
      </c>
      <c r="AK9" s="35">
        <f t="shared" si="14"/>
        <v>8</v>
      </c>
      <c r="AL9" s="34">
        <f t="shared" si="9"/>
        <v>1913</v>
      </c>
      <c r="AM9" s="33">
        <f t="shared" si="27"/>
        <v>0</v>
      </c>
      <c r="AN9" s="28" t="str">
        <f t="shared" si="28"/>
        <v>H</v>
      </c>
      <c r="AO9" s="35">
        <f t="shared" si="14"/>
        <v>7</v>
      </c>
      <c r="AP9" s="34">
        <f t="shared" si="29"/>
        <v>1903</v>
      </c>
      <c r="AQ9" s="33">
        <f t="shared" si="30"/>
        <v>-1</v>
      </c>
      <c r="AR9" s="28" t="str">
        <f t="shared" si="31"/>
        <v>X</v>
      </c>
      <c r="AS9" s="36">
        <f t="shared" si="14"/>
        <v>6</v>
      </c>
      <c r="AT9" s="1"/>
    </row>
    <row r="10" spans="1:50" ht="17.25" customHeight="1" thickBot="1" x14ac:dyDescent="0.3">
      <c r="A10" s="1"/>
      <c r="B10" s="6"/>
      <c r="C10" s="6"/>
      <c r="D10" s="6"/>
      <c r="E10" s="1"/>
      <c r="F10" s="32">
        <f t="shared" si="0"/>
        <v>1994</v>
      </c>
      <c r="G10" s="33">
        <f t="shared" si="10"/>
        <v>1</v>
      </c>
      <c r="H10" s="28" t="str">
        <f t="shared" si="11"/>
        <v>S</v>
      </c>
      <c r="I10" s="33">
        <f t="shared" si="1"/>
        <v>7</v>
      </c>
      <c r="J10" s="34">
        <f t="shared" si="2"/>
        <v>1984</v>
      </c>
      <c r="K10" s="33">
        <f t="shared" si="12"/>
        <v>0</v>
      </c>
      <c r="L10" s="28" t="str">
        <f t="shared" si="13"/>
        <v>H</v>
      </c>
      <c r="M10" s="33">
        <f t="shared" si="14"/>
        <v>6</v>
      </c>
      <c r="N10" s="34">
        <f t="shared" si="3"/>
        <v>1974</v>
      </c>
      <c r="O10" s="33">
        <f t="shared" si="15"/>
        <v>3</v>
      </c>
      <c r="P10" s="28" t="str">
        <f t="shared" si="16"/>
        <v>T</v>
      </c>
      <c r="Q10" s="33">
        <f t="shared" si="14"/>
        <v>5</v>
      </c>
      <c r="R10" s="34">
        <f t="shared" si="4"/>
        <v>1964</v>
      </c>
      <c r="S10" s="33">
        <f t="shared" si="17"/>
        <v>2</v>
      </c>
      <c r="T10" s="28" t="str">
        <f t="shared" si="18"/>
        <v>A</v>
      </c>
      <c r="U10" s="33">
        <f t="shared" si="14"/>
        <v>4</v>
      </c>
      <c r="V10" s="34">
        <f t="shared" si="5"/>
        <v>1954</v>
      </c>
      <c r="W10" s="33">
        <f t="shared" si="19"/>
        <v>1</v>
      </c>
      <c r="X10" s="28" t="str">
        <f t="shared" si="20"/>
        <v>S</v>
      </c>
      <c r="Y10" s="35">
        <f t="shared" si="14"/>
        <v>3</v>
      </c>
      <c r="Z10" s="34">
        <f t="shared" si="6"/>
        <v>1944</v>
      </c>
      <c r="AA10" s="33">
        <f t="shared" si="21"/>
        <v>0</v>
      </c>
      <c r="AB10" s="28" t="str">
        <f t="shared" si="22"/>
        <v>H</v>
      </c>
      <c r="AC10" s="35">
        <f t="shared" si="14"/>
        <v>2</v>
      </c>
      <c r="AD10" s="34">
        <f t="shared" si="7"/>
        <v>1934</v>
      </c>
      <c r="AE10" s="33">
        <f t="shared" si="23"/>
        <v>3</v>
      </c>
      <c r="AF10" s="28" t="str">
        <f t="shared" si="24"/>
        <v>T</v>
      </c>
      <c r="AG10" s="35">
        <f t="shared" si="14"/>
        <v>1</v>
      </c>
      <c r="AH10" s="34">
        <f t="shared" si="8"/>
        <v>1924</v>
      </c>
      <c r="AI10" s="33">
        <f t="shared" si="25"/>
        <v>1</v>
      </c>
      <c r="AJ10" s="28" t="str">
        <f t="shared" si="26"/>
        <v>S</v>
      </c>
      <c r="AK10" s="35">
        <f t="shared" si="14"/>
        <v>9</v>
      </c>
      <c r="AL10" s="34">
        <f t="shared" si="9"/>
        <v>1914</v>
      </c>
      <c r="AM10" s="33">
        <f t="shared" si="27"/>
        <v>0</v>
      </c>
      <c r="AN10" s="28" t="str">
        <f t="shared" si="28"/>
        <v>H</v>
      </c>
      <c r="AO10" s="35">
        <f t="shared" si="14"/>
        <v>8</v>
      </c>
      <c r="AP10" s="34">
        <f t="shared" si="29"/>
        <v>1904</v>
      </c>
      <c r="AQ10" s="33">
        <f t="shared" si="30"/>
        <v>-1</v>
      </c>
      <c r="AR10" s="28" t="str">
        <f t="shared" si="31"/>
        <v>X</v>
      </c>
      <c r="AS10" s="36">
        <f t="shared" si="14"/>
        <v>7</v>
      </c>
      <c r="AT10" s="1"/>
    </row>
    <row r="11" spans="1:50" ht="17.25" customHeight="1" thickTop="1" thickBot="1" x14ac:dyDescent="0.3">
      <c r="A11" s="1"/>
      <c r="B11" s="6"/>
      <c r="C11" s="3">
        <f>SUM(B7+C5+D7)</f>
        <v>3</v>
      </c>
      <c r="D11" s="6"/>
      <c r="E11" s="1"/>
      <c r="F11" s="32">
        <f t="shared" si="0"/>
        <v>1995</v>
      </c>
      <c r="G11" s="33">
        <f t="shared" si="10"/>
        <v>1</v>
      </c>
      <c r="H11" s="28" t="str">
        <f t="shared" si="11"/>
        <v>S</v>
      </c>
      <c r="I11" s="33">
        <f t="shared" si="1"/>
        <v>8</v>
      </c>
      <c r="J11" s="34">
        <f t="shared" si="2"/>
        <v>1985</v>
      </c>
      <c r="K11" s="33">
        <f t="shared" si="12"/>
        <v>0</v>
      </c>
      <c r="L11" s="28" t="str">
        <f t="shared" si="13"/>
        <v>H</v>
      </c>
      <c r="M11" s="33">
        <f t="shared" si="14"/>
        <v>7</v>
      </c>
      <c r="N11" s="34">
        <f t="shared" si="3"/>
        <v>1975</v>
      </c>
      <c r="O11" s="33">
        <f t="shared" si="15"/>
        <v>3</v>
      </c>
      <c r="P11" s="28" t="str">
        <f t="shared" si="16"/>
        <v>T</v>
      </c>
      <c r="Q11" s="33">
        <f t="shared" si="14"/>
        <v>6</v>
      </c>
      <c r="R11" s="34">
        <f t="shared" si="4"/>
        <v>1965</v>
      </c>
      <c r="S11" s="33">
        <f t="shared" si="17"/>
        <v>2</v>
      </c>
      <c r="T11" s="28" t="str">
        <f t="shared" si="18"/>
        <v>A</v>
      </c>
      <c r="U11" s="33">
        <f t="shared" si="14"/>
        <v>5</v>
      </c>
      <c r="V11" s="34">
        <f t="shared" si="5"/>
        <v>1955</v>
      </c>
      <c r="W11" s="33">
        <f t="shared" si="19"/>
        <v>1</v>
      </c>
      <c r="X11" s="28" t="str">
        <f t="shared" si="20"/>
        <v>S</v>
      </c>
      <c r="Y11" s="35">
        <f t="shared" si="14"/>
        <v>4</v>
      </c>
      <c r="Z11" s="34">
        <f t="shared" si="6"/>
        <v>1945</v>
      </c>
      <c r="AA11" s="33">
        <f t="shared" si="21"/>
        <v>0</v>
      </c>
      <c r="AB11" s="28" t="str">
        <f t="shared" si="22"/>
        <v>H</v>
      </c>
      <c r="AC11" s="35">
        <f t="shared" si="14"/>
        <v>3</v>
      </c>
      <c r="AD11" s="34">
        <f t="shared" si="7"/>
        <v>1935</v>
      </c>
      <c r="AE11" s="33">
        <f t="shared" si="23"/>
        <v>3</v>
      </c>
      <c r="AF11" s="28" t="str">
        <f t="shared" si="24"/>
        <v>T</v>
      </c>
      <c r="AG11" s="35">
        <f t="shared" si="14"/>
        <v>2</v>
      </c>
      <c r="AH11" s="34">
        <f t="shared" si="8"/>
        <v>1925</v>
      </c>
      <c r="AI11" s="33">
        <f t="shared" si="25"/>
        <v>2</v>
      </c>
      <c r="AJ11" s="28" t="str">
        <f t="shared" si="26"/>
        <v>A</v>
      </c>
      <c r="AK11" s="35">
        <f t="shared" si="14"/>
        <v>1</v>
      </c>
      <c r="AL11" s="34">
        <f t="shared" si="9"/>
        <v>1915</v>
      </c>
      <c r="AM11" s="33">
        <f t="shared" si="27"/>
        <v>0</v>
      </c>
      <c r="AN11" s="28" t="str">
        <f t="shared" si="28"/>
        <v>H</v>
      </c>
      <c r="AO11" s="35">
        <f t="shared" si="14"/>
        <v>9</v>
      </c>
      <c r="AP11" s="34">
        <f t="shared" si="29"/>
        <v>1905</v>
      </c>
      <c r="AQ11" s="33">
        <f t="shared" si="30"/>
        <v>-1</v>
      </c>
      <c r="AR11" s="28" t="str">
        <f t="shared" si="31"/>
        <v>X</v>
      </c>
      <c r="AS11" s="36">
        <f t="shared" si="14"/>
        <v>8</v>
      </c>
      <c r="AT11" s="1"/>
    </row>
    <row r="12" spans="1:50" ht="17.25" customHeight="1" thickTop="1" thickBot="1" x14ac:dyDescent="0.3">
      <c r="A12" s="1"/>
      <c r="B12" s="5"/>
      <c r="C12" s="5"/>
      <c r="D12" s="5"/>
      <c r="E12" s="1"/>
      <c r="F12" s="32">
        <f t="shared" si="0"/>
        <v>1996</v>
      </c>
      <c r="G12" s="33">
        <f t="shared" si="10"/>
        <v>1</v>
      </c>
      <c r="H12" s="28" t="str">
        <f t="shared" si="11"/>
        <v>S</v>
      </c>
      <c r="I12" s="33">
        <f t="shared" si="1"/>
        <v>9</v>
      </c>
      <c r="J12" s="34">
        <f t="shared" si="2"/>
        <v>1986</v>
      </c>
      <c r="K12" s="33">
        <f t="shared" si="12"/>
        <v>0</v>
      </c>
      <c r="L12" s="28" t="str">
        <f t="shared" si="13"/>
        <v>H</v>
      </c>
      <c r="M12" s="33">
        <f t="shared" si="14"/>
        <v>8</v>
      </c>
      <c r="N12" s="34">
        <f t="shared" si="3"/>
        <v>1976</v>
      </c>
      <c r="O12" s="33">
        <f t="shared" si="15"/>
        <v>3</v>
      </c>
      <c r="P12" s="28" t="str">
        <f t="shared" si="16"/>
        <v>T</v>
      </c>
      <c r="Q12" s="33">
        <f t="shared" si="14"/>
        <v>7</v>
      </c>
      <c r="R12" s="34">
        <f t="shared" si="4"/>
        <v>1966</v>
      </c>
      <c r="S12" s="33">
        <f t="shared" si="17"/>
        <v>2</v>
      </c>
      <c r="T12" s="28" t="str">
        <f t="shared" si="18"/>
        <v>A</v>
      </c>
      <c r="U12" s="33">
        <f t="shared" si="14"/>
        <v>6</v>
      </c>
      <c r="V12" s="34">
        <f t="shared" si="5"/>
        <v>1956</v>
      </c>
      <c r="W12" s="33">
        <f t="shared" si="19"/>
        <v>1</v>
      </c>
      <c r="X12" s="28" t="str">
        <f t="shared" si="20"/>
        <v>S</v>
      </c>
      <c r="Y12" s="35">
        <f t="shared" si="14"/>
        <v>5</v>
      </c>
      <c r="Z12" s="34">
        <f t="shared" si="6"/>
        <v>1946</v>
      </c>
      <c r="AA12" s="33">
        <f t="shared" si="21"/>
        <v>0</v>
      </c>
      <c r="AB12" s="28" t="str">
        <f t="shared" si="22"/>
        <v>H</v>
      </c>
      <c r="AC12" s="35">
        <f t="shared" si="14"/>
        <v>4</v>
      </c>
      <c r="AD12" s="34">
        <f t="shared" si="7"/>
        <v>1936</v>
      </c>
      <c r="AE12" s="33">
        <f t="shared" si="23"/>
        <v>3</v>
      </c>
      <c r="AF12" s="28" t="str">
        <f t="shared" si="24"/>
        <v>T</v>
      </c>
      <c r="AG12" s="35">
        <f t="shared" si="14"/>
        <v>3</v>
      </c>
      <c r="AH12" s="34">
        <f t="shared" si="8"/>
        <v>1926</v>
      </c>
      <c r="AI12" s="33">
        <f t="shared" si="25"/>
        <v>2</v>
      </c>
      <c r="AJ12" s="28" t="str">
        <f t="shared" si="26"/>
        <v>A</v>
      </c>
      <c r="AK12" s="35">
        <f t="shared" si="14"/>
        <v>2</v>
      </c>
      <c r="AL12" s="34">
        <f t="shared" si="9"/>
        <v>1916</v>
      </c>
      <c r="AM12" s="33">
        <f t="shared" si="27"/>
        <v>1</v>
      </c>
      <c r="AN12" s="28" t="str">
        <f t="shared" si="28"/>
        <v>S</v>
      </c>
      <c r="AO12" s="35">
        <f t="shared" si="14"/>
        <v>1</v>
      </c>
      <c r="AP12" s="34">
        <f t="shared" si="29"/>
        <v>1906</v>
      </c>
      <c r="AQ12" s="33">
        <f t="shared" si="30"/>
        <v>-1</v>
      </c>
      <c r="AR12" s="28" t="str">
        <f t="shared" si="31"/>
        <v>X</v>
      </c>
      <c r="AS12" s="36">
        <f t="shared" si="14"/>
        <v>9</v>
      </c>
      <c r="AT12" s="1"/>
    </row>
    <row r="13" spans="1:50" ht="17.25" customHeight="1" thickTop="1" x14ac:dyDescent="0.25">
      <c r="A13" s="1"/>
      <c r="B13" s="101">
        <f>D3</f>
        <v>1900</v>
      </c>
      <c r="C13" s="95">
        <f>SumDigits(SumDigits(B7+C5+D7))</f>
        <v>3</v>
      </c>
      <c r="D13" s="98" t="s">
        <v>22</v>
      </c>
      <c r="E13" s="1"/>
      <c r="F13" s="32">
        <f t="shared" si="0"/>
        <v>1997</v>
      </c>
      <c r="G13" s="33">
        <f t="shared" si="10"/>
        <v>2</v>
      </c>
      <c r="H13" s="28" t="str">
        <f t="shared" si="11"/>
        <v>A</v>
      </c>
      <c r="I13" s="33">
        <f t="shared" si="1"/>
        <v>1</v>
      </c>
      <c r="J13" s="34">
        <f t="shared" si="2"/>
        <v>1987</v>
      </c>
      <c r="K13" s="33">
        <f t="shared" si="12"/>
        <v>0</v>
      </c>
      <c r="L13" s="28" t="str">
        <f t="shared" si="13"/>
        <v>H</v>
      </c>
      <c r="M13" s="33">
        <f t="shared" si="14"/>
        <v>9</v>
      </c>
      <c r="N13" s="34">
        <f t="shared" si="3"/>
        <v>1977</v>
      </c>
      <c r="O13" s="33">
        <f t="shared" si="15"/>
        <v>3</v>
      </c>
      <c r="P13" s="28" t="str">
        <f t="shared" si="16"/>
        <v>T</v>
      </c>
      <c r="Q13" s="33">
        <f t="shared" si="14"/>
        <v>8</v>
      </c>
      <c r="R13" s="34">
        <f t="shared" si="4"/>
        <v>1967</v>
      </c>
      <c r="S13" s="33">
        <f t="shared" si="17"/>
        <v>2</v>
      </c>
      <c r="T13" s="28" t="str">
        <f t="shared" si="18"/>
        <v>A</v>
      </c>
      <c r="U13" s="33">
        <f t="shared" si="14"/>
        <v>7</v>
      </c>
      <c r="V13" s="34">
        <f t="shared" si="5"/>
        <v>1957</v>
      </c>
      <c r="W13" s="33">
        <f t="shared" si="19"/>
        <v>1</v>
      </c>
      <c r="X13" s="28" t="str">
        <f t="shared" si="20"/>
        <v>S</v>
      </c>
      <c r="Y13" s="35">
        <f t="shared" si="14"/>
        <v>6</v>
      </c>
      <c r="Z13" s="34">
        <f t="shared" si="6"/>
        <v>1947</v>
      </c>
      <c r="AA13" s="33">
        <f t="shared" si="21"/>
        <v>0</v>
      </c>
      <c r="AB13" s="28" t="str">
        <f t="shared" si="22"/>
        <v>H</v>
      </c>
      <c r="AC13" s="35">
        <f t="shared" si="14"/>
        <v>5</v>
      </c>
      <c r="AD13" s="34">
        <f t="shared" si="7"/>
        <v>1937</v>
      </c>
      <c r="AE13" s="33">
        <f t="shared" si="23"/>
        <v>3</v>
      </c>
      <c r="AF13" s="28" t="str">
        <f t="shared" si="24"/>
        <v>T</v>
      </c>
      <c r="AG13" s="35">
        <f t="shared" si="14"/>
        <v>4</v>
      </c>
      <c r="AH13" s="34">
        <f t="shared" si="8"/>
        <v>1927</v>
      </c>
      <c r="AI13" s="33">
        <f t="shared" si="25"/>
        <v>2</v>
      </c>
      <c r="AJ13" s="28" t="str">
        <f t="shared" si="26"/>
        <v>A</v>
      </c>
      <c r="AK13" s="35">
        <f t="shared" si="14"/>
        <v>3</v>
      </c>
      <c r="AL13" s="34">
        <f t="shared" si="9"/>
        <v>1917</v>
      </c>
      <c r="AM13" s="33">
        <f t="shared" si="27"/>
        <v>1</v>
      </c>
      <c r="AN13" s="28" t="str">
        <f t="shared" si="28"/>
        <v>S</v>
      </c>
      <c r="AO13" s="35">
        <f t="shared" si="14"/>
        <v>2</v>
      </c>
      <c r="AP13" s="34">
        <f t="shared" si="29"/>
        <v>1907</v>
      </c>
      <c r="AQ13" s="33">
        <f t="shared" si="30"/>
        <v>0</v>
      </c>
      <c r="AR13" s="28" t="str">
        <f t="shared" si="31"/>
        <v>H</v>
      </c>
      <c r="AS13" s="36">
        <f t="shared" si="14"/>
        <v>1</v>
      </c>
      <c r="AT13" s="1"/>
    </row>
    <row r="14" spans="1:50" ht="17.25" customHeight="1" x14ac:dyDescent="0.25">
      <c r="A14" s="1"/>
      <c r="B14" s="102"/>
      <c r="C14" s="96"/>
      <c r="D14" s="99"/>
      <c r="E14" s="1"/>
      <c r="F14" s="32">
        <f t="shared" si="0"/>
        <v>1998</v>
      </c>
      <c r="G14" s="33">
        <f t="shared" si="10"/>
        <v>2</v>
      </c>
      <c r="H14" s="28" t="str">
        <f t="shared" si="11"/>
        <v>A</v>
      </c>
      <c r="I14" s="33">
        <f t="shared" si="1"/>
        <v>2</v>
      </c>
      <c r="J14" s="34">
        <f t="shared" si="2"/>
        <v>1988</v>
      </c>
      <c r="K14" s="33">
        <f t="shared" si="12"/>
        <v>1</v>
      </c>
      <c r="L14" s="28" t="str">
        <f t="shared" si="13"/>
        <v>S</v>
      </c>
      <c r="M14" s="33">
        <f t="shared" si="14"/>
        <v>1</v>
      </c>
      <c r="N14" s="34">
        <f t="shared" si="3"/>
        <v>1978</v>
      </c>
      <c r="O14" s="33">
        <f t="shared" si="15"/>
        <v>3</v>
      </c>
      <c r="P14" s="28" t="str">
        <f t="shared" si="16"/>
        <v>T</v>
      </c>
      <c r="Q14" s="33">
        <f t="shared" si="14"/>
        <v>9</v>
      </c>
      <c r="R14" s="34">
        <f t="shared" si="4"/>
        <v>1968</v>
      </c>
      <c r="S14" s="33">
        <f t="shared" si="17"/>
        <v>2</v>
      </c>
      <c r="T14" s="28" t="str">
        <f t="shared" si="18"/>
        <v>A</v>
      </c>
      <c r="U14" s="33">
        <f t="shared" si="14"/>
        <v>8</v>
      </c>
      <c r="V14" s="34">
        <f t="shared" si="5"/>
        <v>1958</v>
      </c>
      <c r="W14" s="33">
        <f t="shared" si="19"/>
        <v>1</v>
      </c>
      <c r="X14" s="28" t="str">
        <f t="shared" si="20"/>
        <v>S</v>
      </c>
      <c r="Y14" s="35">
        <f t="shared" si="14"/>
        <v>7</v>
      </c>
      <c r="Z14" s="34">
        <f t="shared" si="6"/>
        <v>1948</v>
      </c>
      <c r="AA14" s="33">
        <f t="shared" si="21"/>
        <v>0</v>
      </c>
      <c r="AB14" s="28" t="str">
        <f t="shared" si="22"/>
        <v>H</v>
      </c>
      <c r="AC14" s="35">
        <f t="shared" si="14"/>
        <v>6</v>
      </c>
      <c r="AD14" s="34">
        <f t="shared" si="7"/>
        <v>1938</v>
      </c>
      <c r="AE14" s="33">
        <f t="shared" si="23"/>
        <v>3</v>
      </c>
      <c r="AF14" s="28" t="str">
        <f t="shared" si="24"/>
        <v>T</v>
      </c>
      <c r="AG14" s="35">
        <f t="shared" si="14"/>
        <v>5</v>
      </c>
      <c r="AH14" s="34">
        <f t="shared" si="8"/>
        <v>1928</v>
      </c>
      <c r="AI14" s="33">
        <f t="shared" si="25"/>
        <v>2</v>
      </c>
      <c r="AJ14" s="28" t="str">
        <f t="shared" si="26"/>
        <v>A</v>
      </c>
      <c r="AK14" s="35">
        <f t="shared" si="14"/>
        <v>4</v>
      </c>
      <c r="AL14" s="34">
        <f t="shared" si="9"/>
        <v>1918</v>
      </c>
      <c r="AM14" s="33">
        <f t="shared" si="27"/>
        <v>1</v>
      </c>
      <c r="AN14" s="28" t="str">
        <f t="shared" si="28"/>
        <v>S</v>
      </c>
      <c r="AO14" s="35">
        <f t="shared" si="14"/>
        <v>3</v>
      </c>
      <c r="AP14" s="34">
        <f t="shared" si="29"/>
        <v>1908</v>
      </c>
      <c r="AQ14" s="33">
        <f t="shared" si="30"/>
        <v>0</v>
      </c>
      <c r="AR14" s="28" t="str">
        <f t="shared" si="31"/>
        <v>H</v>
      </c>
      <c r="AS14" s="36">
        <f t="shared" si="14"/>
        <v>2</v>
      </c>
      <c r="AT14" s="1"/>
    </row>
    <row r="15" spans="1:50" ht="17.25" customHeight="1" thickBot="1" x14ac:dyDescent="0.3">
      <c r="A15" s="1"/>
      <c r="B15" s="103"/>
      <c r="C15" s="97"/>
      <c r="D15" s="100"/>
      <c r="E15" s="1"/>
      <c r="F15" s="37">
        <f t="shared" si="0"/>
        <v>1999</v>
      </c>
      <c r="G15" s="38">
        <f t="shared" si="10"/>
        <v>2</v>
      </c>
      <c r="H15" s="39" t="str">
        <f t="shared" si="11"/>
        <v>A</v>
      </c>
      <c r="I15" s="38">
        <f t="shared" si="1"/>
        <v>3</v>
      </c>
      <c r="J15" s="40">
        <f t="shared" si="2"/>
        <v>1989</v>
      </c>
      <c r="K15" s="38">
        <f t="shared" si="12"/>
        <v>1</v>
      </c>
      <c r="L15" s="39" t="str">
        <f t="shared" si="13"/>
        <v>S</v>
      </c>
      <c r="M15" s="38">
        <f t="shared" si="14"/>
        <v>2</v>
      </c>
      <c r="N15" s="40">
        <f t="shared" si="3"/>
        <v>1979</v>
      </c>
      <c r="O15" s="38">
        <f t="shared" si="15"/>
        <v>0</v>
      </c>
      <c r="P15" s="39" t="str">
        <f t="shared" si="16"/>
        <v>H</v>
      </c>
      <c r="Q15" s="38">
        <f t="shared" si="14"/>
        <v>1</v>
      </c>
      <c r="R15" s="40">
        <f t="shared" si="4"/>
        <v>1969</v>
      </c>
      <c r="S15" s="38">
        <f t="shared" si="17"/>
        <v>2</v>
      </c>
      <c r="T15" s="39" t="str">
        <f t="shared" si="18"/>
        <v>A</v>
      </c>
      <c r="U15" s="38">
        <f t="shared" si="14"/>
        <v>9</v>
      </c>
      <c r="V15" s="40">
        <f t="shared" si="5"/>
        <v>1959</v>
      </c>
      <c r="W15" s="38">
        <f t="shared" si="19"/>
        <v>1</v>
      </c>
      <c r="X15" s="39" t="str">
        <f t="shared" si="20"/>
        <v>S</v>
      </c>
      <c r="Y15" s="41">
        <f t="shared" si="14"/>
        <v>8</v>
      </c>
      <c r="Z15" s="40">
        <f t="shared" si="6"/>
        <v>1949</v>
      </c>
      <c r="AA15" s="38">
        <f t="shared" si="21"/>
        <v>0</v>
      </c>
      <c r="AB15" s="39" t="str">
        <f t="shared" si="22"/>
        <v>H</v>
      </c>
      <c r="AC15" s="41">
        <f t="shared" si="14"/>
        <v>7</v>
      </c>
      <c r="AD15" s="40">
        <f t="shared" si="7"/>
        <v>1939</v>
      </c>
      <c r="AE15" s="38">
        <f t="shared" si="23"/>
        <v>3</v>
      </c>
      <c r="AF15" s="39" t="str">
        <f t="shared" si="24"/>
        <v>T</v>
      </c>
      <c r="AG15" s="41">
        <f t="shared" si="14"/>
        <v>6</v>
      </c>
      <c r="AH15" s="40">
        <f t="shared" si="8"/>
        <v>1929</v>
      </c>
      <c r="AI15" s="38">
        <f t="shared" si="25"/>
        <v>2</v>
      </c>
      <c r="AJ15" s="39" t="str">
        <f t="shared" si="26"/>
        <v>A</v>
      </c>
      <c r="AK15" s="41">
        <f t="shared" si="14"/>
        <v>5</v>
      </c>
      <c r="AL15" s="40">
        <f t="shared" si="9"/>
        <v>1919</v>
      </c>
      <c r="AM15" s="38">
        <f t="shared" si="27"/>
        <v>1</v>
      </c>
      <c r="AN15" s="39" t="str">
        <f t="shared" si="28"/>
        <v>S</v>
      </c>
      <c r="AO15" s="41">
        <f t="shared" si="14"/>
        <v>4</v>
      </c>
      <c r="AP15" s="40">
        <f t="shared" si="29"/>
        <v>1909</v>
      </c>
      <c r="AQ15" s="38">
        <f t="shared" si="30"/>
        <v>0</v>
      </c>
      <c r="AR15" s="39" t="str">
        <f t="shared" si="31"/>
        <v>H</v>
      </c>
      <c r="AS15" s="42">
        <f t="shared" si="14"/>
        <v>3</v>
      </c>
      <c r="AT15" s="1"/>
    </row>
    <row r="16" spans="1:50" ht="6.75" customHeight="1" thickTop="1" thickBot="1" x14ac:dyDescent="0.3">
      <c r="A16" s="1"/>
      <c r="B16" s="1"/>
      <c r="C16" s="1"/>
      <c r="D16" s="1"/>
      <c r="E16" s="1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1"/>
    </row>
    <row r="17" spans="1:50" ht="30" thickTop="1" thickBot="1" x14ac:dyDescent="0.3">
      <c r="A17" s="1"/>
      <c r="B17" s="128" t="s">
        <v>15</v>
      </c>
      <c r="C17" s="129"/>
      <c r="D17" s="130"/>
      <c r="E17" s="1"/>
      <c r="F17" s="118" t="s">
        <v>12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0"/>
      <c r="AT17" s="1"/>
    </row>
    <row r="18" spans="1:50" ht="34.5" customHeight="1" thickTop="1" x14ac:dyDescent="0.25">
      <c r="A18" s="1"/>
      <c r="B18" s="54" t="s">
        <v>27</v>
      </c>
      <c r="C18" s="134" t="str">
        <f>TEXT(B3,"00")&amp;"."&amp;TEXT(C3,"00")&amp;"."&amp;D3</f>
        <v>01.01.1900</v>
      </c>
      <c r="D18" s="135"/>
      <c r="E18" s="1"/>
      <c r="F18" s="131" t="s">
        <v>5</v>
      </c>
      <c r="G18" s="132"/>
      <c r="H18" s="132"/>
      <c r="I18" s="132"/>
      <c r="J18" s="132"/>
      <c r="K18" s="132"/>
      <c r="L18" s="132"/>
      <c r="M18" s="132"/>
      <c r="N18" s="132" t="s">
        <v>6</v>
      </c>
      <c r="O18" s="132"/>
      <c r="P18" s="132"/>
      <c r="Q18" s="132"/>
      <c r="R18" s="132"/>
      <c r="S18" s="132"/>
      <c r="T18" s="132"/>
      <c r="U18" s="132"/>
      <c r="V18" s="132" t="s">
        <v>7</v>
      </c>
      <c r="W18" s="132"/>
      <c r="X18" s="132"/>
      <c r="Y18" s="132"/>
      <c r="Z18" s="132"/>
      <c r="AA18" s="132"/>
      <c r="AB18" s="132"/>
      <c r="AC18" s="132"/>
      <c r="AD18" s="132" t="s">
        <v>8</v>
      </c>
      <c r="AE18" s="132"/>
      <c r="AF18" s="132"/>
      <c r="AG18" s="132"/>
      <c r="AH18" s="132"/>
      <c r="AI18" s="132"/>
      <c r="AJ18" s="132"/>
      <c r="AK18" s="132"/>
      <c r="AL18" s="132" t="s">
        <v>9</v>
      </c>
      <c r="AM18" s="132"/>
      <c r="AN18" s="132"/>
      <c r="AO18" s="132"/>
      <c r="AP18" s="132"/>
      <c r="AQ18" s="132"/>
      <c r="AR18" s="132"/>
      <c r="AS18" s="133"/>
      <c r="AT18" s="1"/>
      <c r="AU18" s="10"/>
      <c r="AV18" s="10"/>
      <c r="AW18" s="10"/>
      <c r="AX18" s="10"/>
    </row>
    <row r="19" spans="1:50" ht="30.75" customHeight="1" x14ac:dyDescent="0.25">
      <c r="A19" s="1"/>
      <c r="B19" s="22" t="s">
        <v>17</v>
      </c>
      <c r="C19" s="104"/>
      <c r="D19" s="105"/>
      <c r="E19" s="1"/>
      <c r="F19" s="136">
        <f>B7</f>
        <v>1</v>
      </c>
      <c r="G19" s="137"/>
      <c r="H19" s="137"/>
      <c r="I19" s="137"/>
      <c r="J19" s="137"/>
      <c r="K19" s="137"/>
      <c r="L19" s="137"/>
      <c r="M19" s="137"/>
      <c r="N19" s="115">
        <f>C5</f>
        <v>1</v>
      </c>
      <c r="O19" s="115"/>
      <c r="P19" s="115"/>
      <c r="Q19" s="115"/>
      <c r="R19" s="115"/>
      <c r="S19" s="115"/>
      <c r="T19" s="115"/>
      <c r="U19" s="115"/>
      <c r="V19" s="115">
        <f>D7</f>
        <v>1</v>
      </c>
      <c r="W19" s="115"/>
      <c r="X19" s="115"/>
      <c r="Y19" s="115"/>
      <c r="Z19" s="115"/>
      <c r="AA19" s="115"/>
      <c r="AB19" s="115"/>
      <c r="AC19" s="115"/>
      <c r="AD19" s="115">
        <f>C13</f>
        <v>3</v>
      </c>
      <c r="AE19" s="115"/>
      <c r="AF19" s="115"/>
      <c r="AG19" s="115"/>
      <c r="AH19" s="115"/>
      <c r="AI19" s="115"/>
      <c r="AJ19" s="115"/>
      <c r="AK19" s="115"/>
      <c r="AL19" s="115">
        <f>SumDigits(SumDigits(F19+AD19))</f>
        <v>4</v>
      </c>
      <c r="AM19" s="115"/>
      <c r="AN19" s="115"/>
      <c r="AO19" s="115"/>
      <c r="AP19" s="115"/>
      <c r="AQ19" s="115"/>
      <c r="AR19" s="115"/>
      <c r="AS19" s="138"/>
      <c r="AT19" s="1"/>
      <c r="AU19" s="11"/>
      <c r="AV19" s="11"/>
      <c r="AW19" s="11"/>
      <c r="AX19" s="11"/>
    </row>
    <row r="20" spans="1:50" ht="18.75" customHeight="1" x14ac:dyDescent="0.25">
      <c r="A20" s="1"/>
      <c r="B20" s="23" t="s">
        <v>14</v>
      </c>
      <c r="C20" s="104"/>
      <c r="D20" s="105"/>
      <c r="E20" s="1"/>
      <c r="F20" s="12"/>
      <c r="G20" s="13"/>
      <c r="H20" s="13"/>
      <c r="I20" s="13"/>
      <c r="J20" s="111" t="s">
        <v>10</v>
      </c>
      <c r="K20" s="112"/>
      <c r="L20" s="112"/>
      <c r="M20" s="112"/>
      <c r="N20" s="112"/>
      <c r="O20" s="112"/>
      <c r="P20" s="112"/>
      <c r="Q20" s="112"/>
      <c r="R20" s="112" t="s">
        <v>11</v>
      </c>
      <c r="S20" s="112"/>
      <c r="T20" s="112"/>
      <c r="U20" s="112"/>
      <c r="V20" s="112"/>
      <c r="W20" s="112"/>
      <c r="X20" s="112"/>
      <c r="Y20" s="1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4"/>
      <c r="AT20" s="1"/>
      <c r="AU20" s="11"/>
      <c r="AV20" s="11"/>
      <c r="AW20" s="11"/>
      <c r="AX20" s="11"/>
    </row>
    <row r="21" spans="1:50" ht="30.75" customHeight="1" x14ac:dyDescent="0.25">
      <c r="A21" s="1"/>
      <c r="B21" s="23" t="s">
        <v>16</v>
      </c>
      <c r="C21" s="106"/>
      <c r="D21" s="107"/>
      <c r="E21" s="1"/>
      <c r="F21" s="12"/>
      <c r="G21" s="13"/>
      <c r="H21" s="13"/>
      <c r="I21" s="13"/>
      <c r="J21" s="114">
        <f>SumDigits(SumDigits(F19+N19))</f>
        <v>2</v>
      </c>
      <c r="K21" s="115"/>
      <c r="L21" s="115"/>
      <c r="M21" s="115"/>
      <c r="N21" s="115"/>
      <c r="O21" s="115"/>
      <c r="P21" s="115"/>
      <c r="Q21" s="115"/>
      <c r="R21" s="116">
        <f>SumDigits(SumDigits(N19+V19))</f>
        <v>2</v>
      </c>
      <c r="S21" s="116"/>
      <c r="T21" s="116"/>
      <c r="U21" s="116"/>
      <c r="V21" s="116"/>
      <c r="W21" s="116"/>
      <c r="X21" s="116"/>
      <c r="Y21" s="117"/>
      <c r="Z21" s="15"/>
      <c r="AA21" s="15"/>
      <c r="AB21" s="15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4"/>
      <c r="AT21" s="1"/>
    </row>
    <row r="22" spans="1:50" ht="18.75" customHeight="1" x14ac:dyDescent="0.25">
      <c r="A22" s="1"/>
      <c r="B22" s="144" t="s">
        <v>13</v>
      </c>
      <c r="C22" s="146"/>
      <c r="D22" s="142"/>
      <c r="E22" s="1"/>
      <c r="F22" s="12"/>
      <c r="G22" s="13"/>
      <c r="H22" s="13"/>
      <c r="I22" s="13"/>
      <c r="J22" s="13"/>
      <c r="K22" s="13"/>
      <c r="L22" s="13"/>
      <c r="M22" s="13"/>
      <c r="N22" s="111" t="s">
        <v>18</v>
      </c>
      <c r="O22" s="112"/>
      <c r="P22" s="112"/>
      <c r="Q22" s="112"/>
      <c r="R22" s="112"/>
      <c r="S22" s="112"/>
      <c r="T22" s="112"/>
      <c r="U22" s="1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4"/>
      <c r="AT22" s="1"/>
    </row>
    <row r="23" spans="1:50" ht="30.75" customHeight="1" thickBot="1" x14ac:dyDescent="0.3">
      <c r="A23" s="1"/>
      <c r="B23" s="145"/>
      <c r="C23" s="147"/>
      <c r="D23" s="143"/>
      <c r="E23" s="1"/>
      <c r="F23" s="16"/>
      <c r="G23" s="17"/>
      <c r="H23" s="17"/>
      <c r="I23" s="17"/>
      <c r="J23" s="17"/>
      <c r="K23" s="17"/>
      <c r="L23" s="17"/>
      <c r="M23" s="17"/>
      <c r="N23" s="108">
        <f>SumDigits(SumDigits(J21+R21))</f>
        <v>4</v>
      </c>
      <c r="O23" s="109"/>
      <c r="P23" s="109"/>
      <c r="Q23" s="109"/>
      <c r="R23" s="109"/>
      <c r="S23" s="109"/>
      <c r="T23" s="109"/>
      <c r="U23" s="110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8"/>
      <c r="AT23" s="1"/>
    </row>
    <row r="24" spans="1:50" ht="6" customHeight="1" thickTop="1" x14ac:dyDescent="0.25">
      <c r="A24" s="1"/>
      <c r="B24" s="1"/>
      <c r="C24" s="1"/>
      <c r="D24" s="1"/>
      <c r="E24" s="1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1"/>
    </row>
  </sheetData>
  <sheetProtection algorithmName="SHA-512" hashValue="HplJyqGbIlGmQbi5kmW9nfmsrC9Q/cxbaXy7iyNSjcPx1tNEaibMkDEhMLl0qVXMTiDFJNEFVb3SC26nXCT8+w==" saltValue="BIdNfauwhYj1u2jh1nb1uQ==" spinCount="100000" sheet="1" objects="1" scenarios="1"/>
  <mergeCells count="38">
    <mergeCell ref="B22:B23"/>
    <mergeCell ref="C22:D23"/>
    <mergeCell ref="N22:U22"/>
    <mergeCell ref="N23:U23"/>
    <mergeCell ref="C20:D20"/>
    <mergeCell ref="J20:Q20"/>
    <mergeCell ref="R20:Y20"/>
    <mergeCell ref="C21:D21"/>
    <mergeCell ref="J21:Q21"/>
    <mergeCell ref="R21:Y21"/>
    <mergeCell ref="C19:D19"/>
    <mergeCell ref="F19:M19"/>
    <mergeCell ref="N19:U19"/>
    <mergeCell ref="V19:AC19"/>
    <mergeCell ref="AD19:AK19"/>
    <mergeCell ref="AL19:AS19"/>
    <mergeCell ref="C18:D18"/>
    <mergeCell ref="F18:M18"/>
    <mergeCell ref="N18:U18"/>
    <mergeCell ref="V18:AC18"/>
    <mergeCell ref="AD18:AK18"/>
    <mergeCell ref="AL18:AS18"/>
    <mergeCell ref="AP4:AS4"/>
    <mergeCell ref="B13:B15"/>
    <mergeCell ref="C13:C15"/>
    <mergeCell ref="D13:D15"/>
    <mergeCell ref="B17:D17"/>
    <mergeCell ref="F17:AS17"/>
    <mergeCell ref="F2:AS3"/>
    <mergeCell ref="F4:I4"/>
    <mergeCell ref="J4:M4"/>
    <mergeCell ref="N4:Q4"/>
    <mergeCell ref="R4:U4"/>
    <mergeCell ref="V4:Y4"/>
    <mergeCell ref="Z4:AC4"/>
    <mergeCell ref="AD4:AG4"/>
    <mergeCell ref="AH4:AK4"/>
    <mergeCell ref="AL4:AO4"/>
  </mergeCells>
  <conditionalFormatting sqref="F6:AS15">
    <cfRule type="cellIs" dxfId="16" priority="1" operator="equal">
      <formula>"X"</formula>
    </cfRule>
    <cfRule type="cellIs" dxfId="15" priority="2" operator="equal">
      <formula>"T"</formula>
    </cfRule>
    <cfRule type="cellIs" dxfId="14" priority="3" operator="equal">
      <formula>"A"</formula>
    </cfRule>
    <cfRule type="cellIs" dxfId="13" priority="4" operator="equal">
      <formula>"S"</formula>
    </cfRule>
    <cfRule type="cellIs" dxfId="12" priority="5" operator="equal">
      <formula>"H"</formula>
    </cfRule>
    <cfRule type="cellIs" dxfId="11" priority="6" operator="equal">
      <formula>9</formula>
    </cfRule>
    <cfRule type="cellIs" dxfId="10" priority="7" operator="equal">
      <formula>1</formula>
    </cfRule>
    <cfRule type="cellIs" dxfId="9" priority="16" operator="equal">
      <formula>YEAR(TODAY())</formula>
    </cfRule>
  </conditionalFormatting>
  <conditionalFormatting sqref="F19:AS23 C13">
    <cfRule type="cellIs" dxfId="8" priority="8" operator="equal">
      <formula>9</formula>
    </cfRule>
    <cfRule type="cellIs" dxfId="7" priority="9" operator="equal">
      <formula>8</formula>
    </cfRule>
    <cfRule type="cellIs" dxfId="6" priority="10" operator="equal">
      <formula>4</formula>
    </cfRule>
    <cfRule type="cellIs" dxfId="5" priority="11" operator="equal">
      <formula>6</formula>
    </cfRule>
    <cfRule type="cellIs" dxfId="4" priority="12" operator="equal">
      <formula>3</formula>
    </cfRule>
    <cfRule type="cellIs" dxfId="3" priority="13" operator="equal">
      <formula>7</formula>
    </cfRule>
    <cfRule type="cellIs" dxfId="2" priority="14" operator="equal">
      <formula>2</formula>
    </cfRule>
    <cfRule type="cellIs" dxfId="1" priority="15" operator="equal">
      <formula>5</formula>
    </cfRule>
    <cfRule type="cellIs" dxfId="0" priority="17" operator="equal">
      <formula>1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6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22</vt:i4>
      </vt:variant>
      <vt:variant>
        <vt:lpstr>Adlandırılmış Aralıklar</vt:lpstr>
      </vt:variant>
      <vt:variant>
        <vt:i4>22</vt:i4>
      </vt:variant>
    </vt:vector>
  </HeadingPairs>
  <TitlesOfParts>
    <vt:vector size="44" baseType="lpstr">
      <vt:lpstr>GRUP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'1'!Yazdırma_Alanı</vt:lpstr>
      <vt:lpstr>'10'!Yazdırma_Alanı</vt:lpstr>
      <vt:lpstr>'11'!Yazdırma_Alanı</vt:lpstr>
      <vt:lpstr>'12'!Yazdırma_Alanı</vt:lpstr>
      <vt:lpstr>'13'!Yazdırma_Alanı</vt:lpstr>
      <vt:lpstr>'14'!Yazdırma_Alanı</vt:lpstr>
      <vt:lpstr>'15'!Yazdırma_Alanı</vt:lpstr>
      <vt:lpstr>'16'!Yazdırma_Alanı</vt:lpstr>
      <vt:lpstr>'17'!Yazdırma_Alanı</vt:lpstr>
      <vt:lpstr>'18'!Yazdırma_Alanı</vt:lpstr>
      <vt:lpstr>'19'!Yazdırma_Alanı</vt:lpstr>
      <vt:lpstr>'2'!Yazdırma_Alanı</vt:lpstr>
      <vt:lpstr>'20'!Yazdırma_Alanı</vt:lpstr>
      <vt:lpstr>'21'!Yazdırma_Alanı</vt:lpstr>
      <vt:lpstr>'3'!Yazdırma_Alanı</vt:lpstr>
      <vt:lpstr>'4'!Yazdırma_Alanı</vt:lpstr>
      <vt:lpstr>'5'!Yazdırma_Alanı</vt:lpstr>
      <vt:lpstr>'6'!Yazdırma_Alanı</vt:lpstr>
      <vt:lpstr>'7'!Yazdırma_Alanı</vt:lpstr>
      <vt:lpstr>'8'!Yazdırma_Alanı</vt:lpstr>
      <vt:lpstr>'9'!Yazdırma_Alanı</vt:lpstr>
      <vt:lpstr>GRUP!Yazdırma_Alanı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Mehmet Durmaz</cp:lastModifiedBy>
  <cp:lastPrinted>2016-01-28T12:51:39Z</cp:lastPrinted>
  <dcterms:created xsi:type="dcterms:W3CDTF">2006-09-16T00:00:00Z</dcterms:created>
  <dcterms:modified xsi:type="dcterms:W3CDTF">2016-01-28T13:01:52Z</dcterms:modified>
</cp:coreProperties>
</file>