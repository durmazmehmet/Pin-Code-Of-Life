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E:\Özel\"/>
    </mc:Choice>
  </mc:AlternateContent>
  <bookViews>
    <workbookView xWindow="240" yWindow="105" windowWidth="14805" windowHeight="8010" tabRatio="854" activeTab="1"/>
  </bookViews>
  <sheets>
    <sheet name="GRUP" sheetId="3" r:id="rId1"/>
    <sheet name="1" sheetId="1" r:id="rId2"/>
    <sheet name="2" sheetId="109" r:id="rId3"/>
    <sheet name="3" sheetId="110" r:id="rId4"/>
    <sheet name="4" sheetId="111" r:id="rId5"/>
    <sheet name="5" sheetId="112" r:id="rId6"/>
    <sheet name="6" sheetId="113" r:id="rId7"/>
    <sheet name="7" sheetId="114" r:id="rId8"/>
    <sheet name="8" sheetId="115" r:id="rId9"/>
    <sheet name="9" sheetId="116" r:id="rId10"/>
    <sheet name="10" sheetId="117" r:id="rId11"/>
    <sheet name="11" sheetId="118" r:id="rId12"/>
    <sheet name="12" sheetId="119" r:id="rId13"/>
    <sheet name="13" sheetId="120" r:id="rId14"/>
    <sheet name="14" sheetId="121" r:id="rId15"/>
    <sheet name="15" sheetId="122" r:id="rId16"/>
    <sheet name="16" sheetId="123" r:id="rId17"/>
  </sheets>
  <functionGroups builtInGroupCount="18"/>
  <definedNames>
    <definedName name="_xlnm.Print_Area" localSheetId="1">'1'!$A$1:$AT$36</definedName>
    <definedName name="_xlnm.Print_Area" localSheetId="10">'10'!$A$1:$AT$36</definedName>
    <definedName name="_xlnm.Print_Area" localSheetId="11">'11'!$A$1:$AT$36</definedName>
    <definedName name="_xlnm.Print_Area" localSheetId="12">'12'!$A$1:$AT$36</definedName>
    <definedName name="_xlnm.Print_Area" localSheetId="13">'13'!$A$1:$AT$36</definedName>
    <definedName name="_xlnm.Print_Area" localSheetId="14">'14'!$A$1:$AT$36</definedName>
    <definedName name="_xlnm.Print_Area" localSheetId="15">'15'!$A$1:$AT$36</definedName>
    <definedName name="_xlnm.Print_Area" localSheetId="16">'16'!$A$1:$AT$36</definedName>
    <definedName name="_xlnm.Print_Area" localSheetId="2">'2'!$A$1:$AT$36</definedName>
    <definedName name="_xlnm.Print_Area" localSheetId="3">'3'!$A$1:$AT$36</definedName>
    <definedName name="_xlnm.Print_Area" localSheetId="4">'4'!$A$1:$AT$36</definedName>
    <definedName name="_xlnm.Print_Area" localSheetId="5">'5'!$A$1:$AT$36</definedName>
    <definedName name="_xlnm.Print_Area" localSheetId="6">'6'!$A$1:$AT$36</definedName>
    <definedName name="_xlnm.Print_Area" localSheetId="7">'7'!$A$1:$AT$36</definedName>
    <definedName name="_xlnm.Print_Area" localSheetId="8">'8'!$A$1:$AT$36</definedName>
    <definedName name="_xlnm.Print_Area" localSheetId="9">'9'!$A$1:$AT$36</definedName>
    <definedName name="_xlnm.Print_Area" localSheetId="0">GRUP!$A$1:$V$41</definedName>
  </definedNames>
  <calcPr calcId="152511"/>
</workbook>
</file>

<file path=xl/calcChain.xml><?xml version="1.0" encoding="utf-8"?>
<calcChain xmlns="http://schemas.openxmlformats.org/spreadsheetml/2006/main">
  <c r="B15" i="123" l="1"/>
  <c r="AQ14" i="123"/>
  <c r="AR14" i="123" s="1"/>
  <c r="AM14" i="123"/>
  <c r="AN14" i="123" s="1"/>
  <c r="AI14" i="123"/>
  <c r="AJ14" i="123" s="1"/>
  <c r="AE14" i="123"/>
  <c r="AF14" i="123" s="1"/>
  <c r="AA14" i="123"/>
  <c r="AB14" i="123" s="1"/>
  <c r="W14" i="123"/>
  <c r="X14" i="123" s="1"/>
  <c r="S14" i="123"/>
  <c r="T14" i="123" s="1"/>
  <c r="O14" i="123"/>
  <c r="P14" i="123" s="1"/>
  <c r="K14" i="123"/>
  <c r="L14" i="123" s="1"/>
  <c r="G14" i="123"/>
  <c r="H14" i="123" s="1"/>
  <c r="AQ13" i="123"/>
  <c r="AR13" i="123" s="1"/>
  <c r="AM13" i="123"/>
  <c r="AN13" i="123" s="1"/>
  <c r="AI13" i="123"/>
  <c r="AJ13" i="123" s="1"/>
  <c r="AE13" i="123"/>
  <c r="AF13" i="123" s="1"/>
  <c r="AA13" i="123"/>
  <c r="AB13" i="123" s="1"/>
  <c r="W13" i="123"/>
  <c r="X13" i="123" s="1"/>
  <c r="S13" i="123"/>
  <c r="T13" i="123" s="1"/>
  <c r="O13" i="123"/>
  <c r="P13" i="123" s="1"/>
  <c r="K13" i="123"/>
  <c r="L13" i="123" s="1"/>
  <c r="G13" i="123"/>
  <c r="H13" i="123" s="1"/>
  <c r="B13" i="123"/>
  <c r="AR12" i="123"/>
  <c r="AQ12" i="123"/>
  <c r="AN12" i="123"/>
  <c r="AM12" i="123"/>
  <c r="AJ12" i="123"/>
  <c r="AI12" i="123"/>
  <c r="AF12" i="123"/>
  <c r="AE12" i="123"/>
  <c r="AB12" i="123"/>
  <c r="AA12" i="123"/>
  <c r="X12" i="123"/>
  <c r="W12" i="123"/>
  <c r="T12" i="123"/>
  <c r="S12" i="123"/>
  <c r="P12" i="123"/>
  <c r="O12" i="123"/>
  <c r="L12" i="123"/>
  <c r="K12" i="123"/>
  <c r="H12" i="123"/>
  <c r="G12" i="123"/>
  <c r="AR11" i="123"/>
  <c r="AQ11" i="123"/>
  <c r="AN11" i="123"/>
  <c r="AM11" i="123"/>
  <c r="AJ11" i="123"/>
  <c r="AI11" i="123"/>
  <c r="AF11" i="123"/>
  <c r="AE11" i="123"/>
  <c r="AB11" i="123"/>
  <c r="AA11" i="123"/>
  <c r="X11" i="123"/>
  <c r="W11" i="123"/>
  <c r="T11" i="123"/>
  <c r="S11" i="123"/>
  <c r="P11" i="123"/>
  <c r="O11" i="123"/>
  <c r="L11" i="123"/>
  <c r="K11" i="123"/>
  <c r="H11" i="123"/>
  <c r="G11" i="123"/>
  <c r="AR10" i="123"/>
  <c r="AQ10" i="123"/>
  <c r="AN10" i="123"/>
  <c r="AM10" i="123"/>
  <c r="AJ10" i="123"/>
  <c r="AI10" i="123"/>
  <c r="AF10" i="123"/>
  <c r="AE10" i="123"/>
  <c r="AB10" i="123"/>
  <c r="AA10" i="123"/>
  <c r="X10" i="123"/>
  <c r="W10" i="123"/>
  <c r="T10" i="123"/>
  <c r="S10" i="123"/>
  <c r="P10" i="123"/>
  <c r="O10" i="123"/>
  <c r="L10" i="123"/>
  <c r="K10" i="123"/>
  <c r="H10" i="123"/>
  <c r="G10" i="123"/>
  <c r="AR9" i="123"/>
  <c r="AQ9" i="123"/>
  <c r="AN9" i="123"/>
  <c r="AM9" i="123"/>
  <c r="AJ9" i="123"/>
  <c r="AI9" i="123"/>
  <c r="AF9" i="123"/>
  <c r="AE9" i="123"/>
  <c r="AB9" i="123"/>
  <c r="AA9" i="123"/>
  <c r="X9" i="123"/>
  <c r="W9" i="123"/>
  <c r="T9" i="123"/>
  <c r="S9" i="123"/>
  <c r="P9" i="123"/>
  <c r="O9" i="123"/>
  <c r="L9" i="123"/>
  <c r="K9" i="123"/>
  <c r="H9" i="123"/>
  <c r="G9" i="123"/>
  <c r="AR8" i="123"/>
  <c r="AQ8" i="123"/>
  <c r="AN8" i="123"/>
  <c r="AM8" i="123"/>
  <c r="AJ8" i="123"/>
  <c r="AI8" i="123"/>
  <c r="AF8" i="123"/>
  <c r="AE8" i="123"/>
  <c r="AB8" i="123"/>
  <c r="AA8" i="123"/>
  <c r="X8" i="123"/>
  <c r="W8" i="123"/>
  <c r="T8" i="123"/>
  <c r="S8" i="123"/>
  <c r="P8" i="123"/>
  <c r="O8" i="123"/>
  <c r="L8" i="123"/>
  <c r="K8" i="123"/>
  <c r="H8" i="123"/>
  <c r="G8" i="123"/>
  <c r="AR7" i="123"/>
  <c r="AQ7" i="123"/>
  <c r="AN7" i="123"/>
  <c r="AM7" i="123"/>
  <c r="AJ7" i="123"/>
  <c r="AI7" i="123"/>
  <c r="AF7" i="123"/>
  <c r="AE7" i="123"/>
  <c r="AB7" i="123"/>
  <c r="AA7" i="123"/>
  <c r="X7" i="123"/>
  <c r="W7" i="123"/>
  <c r="T7" i="123"/>
  <c r="S7" i="123"/>
  <c r="P7" i="123"/>
  <c r="O7" i="123"/>
  <c r="L7" i="123"/>
  <c r="K7" i="123"/>
  <c r="H7" i="123"/>
  <c r="G7" i="123"/>
  <c r="AQ6" i="123"/>
  <c r="AR6" i="123" s="1"/>
  <c r="AP6" i="123"/>
  <c r="AP7" i="123" s="1"/>
  <c r="AP8" i="123" s="1"/>
  <c r="AP9" i="123" s="1"/>
  <c r="AP10" i="123" s="1"/>
  <c r="AP11" i="123" s="1"/>
  <c r="AP12" i="123" s="1"/>
  <c r="AP13" i="123" s="1"/>
  <c r="AP14" i="123" s="1"/>
  <c r="AM6" i="123"/>
  <c r="AN6" i="123" s="1"/>
  <c r="B15" i="122"/>
  <c r="AR14" i="122"/>
  <c r="AQ14" i="122"/>
  <c r="AM14" i="122"/>
  <c r="AN14" i="122" s="1"/>
  <c r="AQ13" i="122"/>
  <c r="AR13" i="122" s="1"/>
  <c r="AM13" i="122"/>
  <c r="AN13" i="122" s="1"/>
  <c r="AI13" i="122"/>
  <c r="AJ13" i="122" s="1"/>
  <c r="AE13" i="122"/>
  <c r="AF13" i="122" s="1"/>
  <c r="B13" i="122"/>
  <c r="AR12" i="122"/>
  <c r="AQ12" i="122"/>
  <c r="AN12" i="122"/>
  <c r="AM12" i="122"/>
  <c r="AJ12" i="122"/>
  <c r="AI12" i="122"/>
  <c r="AF12" i="122"/>
  <c r="AE12" i="122"/>
  <c r="AB12" i="122"/>
  <c r="AA12" i="122"/>
  <c r="X12" i="122"/>
  <c r="W12" i="122"/>
  <c r="T12" i="122"/>
  <c r="S12" i="122"/>
  <c r="P12" i="122"/>
  <c r="O12" i="122"/>
  <c r="L12" i="122"/>
  <c r="K12" i="122"/>
  <c r="H12" i="122"/>
  <c r="G12" i="122"/>
  <c r="AR11" i="122"/>
  <c r="AQ11" i="122"/>
  <c r="AN11" i="122"/>
  <c r="AM11" i="122"/>
  <c r="AJ11" i="122"/>
  <c r="AI11" i="122"/>
  <c r="AF11" i="122"/>
  <c r="AE11" i="122"/>
  <c r="AB11" i="122"/>
  <c r="AA11" i="122"/>
  <c r="X11" i="122"/>
  <c r="W11" i="122"/>
  <c r="T11" i="122"/>
  <c r="S11" i="122"/>
  <c r="P11" i="122"/>
  <c r="O11" i="122"/>
  <c r="L11" i="122"/>
  <c r="K11" i="122"/>
  <c r="H11" i="122"/>
  <c r="G11" i="122"/>
  <c r="AR10" i="122"/>
  <c r="AQ10" i="122"/>
  <c r="AN10" i="122"/>
  <c r="AM10" i="122"/>
  <c r="AJ10" i="122"/>
  <c r="AI10" i="122"/>
  <c r="AF10" i="122"/>
  <c r="AE10" i="122"/>
  <c r="AB10" i="122"/>
  <c r="AA10" i="122"/>
  <c r="X10" i="122"/>
  <c r="W10" i="122"/>
  <c r="T10" i="122"/>
  <c r="S10" i="122"/>
  <c r="P10" i="122"/>
  <c r="O10" i="122"/>
  <c r="L10" i="122"/>
  <c r="K10" i="122"/>
  <c r="H10" i="122"/>
  <c r="G10" i="122"/>
  <c r="AR9" i="122"/>
  <c r="AQ9" i="122"/>
  <c r="AN9" i="122"/>
  <c r="AM9" i="122"/>
  <c r="AJ9" i="122"/>
  <c r="AI9" i="122"/>
  <c r="AF9" i="122"/>
  <c r="AE9" i="122"/>
  <c r="AB9" i="122"/>
  <c r="AA9" i="122"/>
  <c r="X9" i="122"/>
  <c r="W9" i="122"/>
  <c r="T9" i="122"/>
  <c r="S9" i="122"/>
  <c r="P9" i="122"/>
  <c r="O9" i="122"/>
  <c r="L9" i="122"/>
  <c r="K9" i="122"/>
  <c r="H9" i="122"/>
  <c r="G9" i="122"/>
  <c r="AR8" i="122"/>
  <c r="AQ8" i="122"/>
  <c r="AN8" i="122"/>
  <c r="AM8" i="122"/>
  <c r="AJ8" i="122"/>
  <c r="AI8" i="122"/>
  <c r="AF8" i="122"/>
  <c r="AE8" i="122"/>
  <c r="AB8" i="122"/>
  <c r="AA8" i="122"/>
  <c r="X8" i="122"/>
  <c r="W8" i="122"/>
  <c r="T8" i="122"/>
  <c r="S8" i="122"/>
  <c r="P8" i="122"/>
  <c r="O8" i="122"/>
  <c r="L8" i="122"/>
  <c r="K8" i="122"/>
  <c r="H8" i="122"/>
  <c r="G8" i="122"/>
  <c r="AR7" i="122"/>
  <c r="AQ7" i="122"/>
  <c r="AN7" i="122"/>
  <c r="AM7" i="122"/>
  <c r="AJ7" i="122"/>
  <c r="AI7" i="122"/>
  <c r="AF7" i="122"/>
  <c r="AE7" i="122"/>
  <c r="AB7" i="122"/>
  <c r="AA7" i="122"/>
  <c r="X7" i="122"/>
  <c r="W7" i="122"/>
  <c r="T7" i="122"/>
  <c r="S7" i="122"/>
  <c r="P7" i="122"/>
  <c r="O7" i="122"/>
  <c r="L7" i="122"/>
  <c r="K7" i="122"/>
  <c r="H7" i="122"/>
  <c r="G7" i="122"/>
  <c r="AQ6" i="122"/>
  <c r="AR6" i="122" s="1"/>
  <c r="AP6" i="122"/>
  <c r="AP7" i="122" s="1"/>
  <c r="AP8" i="122" s="1"/>
  <c r="AP9" i="122" s="1"/>
  <c r="AP10" i="122" s="1"/>
  <c r="AP11" i="122" s="1"/>
  <c r="AP12" i="122" s="1"/>
  <c r="AP13" i="122" s="1"/>
  <c r="AP14" i="122" s="1"/>
  <c r="B15" i="121"/>
  <c r="AQ14" i="121"/>
  <c r="AR14" i="121" s="1"/>
  <c r="AR13" i="121"/>
  <c r="AQ13" i="121"/>
  <c r="AM13" i="121"/>
  <c r="B13" i="121"/>
  <c r="AR12" i="121"/>
  <c r="AQ12" i="121"/>
  <c r="AN12" i="121"/>
  <c r="AM12" i="121"/>
  <c r="AJ12" i="121"/>
  <c r="AI12" i="121"/>
  <c r="AF12" i="121"/>
  <c r="AE12" i="121"/>
  <c r="AB12" i="121"/>
  <c r="AA12" i="121"/>
  <c r="X12" i="121"/>
  <c r="W12" i="121"/>
  <c r="T12" i="121"/>
  <c r="S12" i="121"/>
  <c r="O12" i="121"/>
  <c r="P12" i="121" s="1"/>
  <c r="K12" i="121"/>
  <c r="L12" i="121" s="1"/>
  <c r="G12" i="121"/>
  <c r="H12" i="121" s="1"/>
  <c r="AQ11" i="121"/>
  <c r="AR11" i="121" s="1"/>
  <c r="AM11" i="121"/>
  <c r="AN11" i="121" s="1"/>
  <c r="AI11" i="121"/>
  <c r="AJ11" i="121" s="1"/>
  <c r="AE11" i="121"/>
  <c r="AF11" i="121" s="1"/>
  <c r="AA11" i="121"/>
  <c r="AB11" i="121" s="1"/>
  <c r="W11" i="121"/>
  <c r="X11" i="121" s="1"/>
  <c r="S11" i="121"/>
  <c r="T11" i="121" s="1"/>
  <c r="O11" i="121"/>
  <c r="P11" i="121" s="1"/>
  <c r="K11" i="121"/>
  <c r="L11" i="121" s="1"/>
  <c r="G11" i="121"/>
  <c r="H11" i="121" s="1"/>
  <c r="AR10" i="121"/>
  <c r="AQ10" i="121"/>
  <c r="AN10" i="121"/>
  <c r="AM10" i="121"/>
  <c r="AJ10" i="121"/>
  <c r="AI10" i="121"/>
  <c r="AF10" i="121"/>
  <c r="AE10" i="121"/>
  <c r="AB10" i="121"/>
  <c r="AA10" i="121"/>
  <c r="X10" i="121"/>
  <c r="W10" i="121"/>
  <c r="T10" i="121"/>
  <c r="S10" i="121"/>
  <c r="P10" i="121"/>
  <c r="O10" i="121"/>
  <c r="L10" i="121"/>
  <c r="K10" i="121"/>
  <c r="H10" i="121"/>
  <c r="G10" i="121"/>
  <c r="AR9" i="121"/>
  <c r="AQ9" i="121"/>
  <c r="AN9" i="121"/>
  <c r="AM9" i="121"/>
  <c r="AJ9" i="121"/>
  <c r="AI9" i="121"/>
  <c r="AF9" i="121"/>
  <c r="AE9" i="121"/>
  <c r="AB9" i="121"/>
  <c r="AA9" i="121"/>
  <c r="X9" i="121"/>
  <c r="W9" i="121"/>
  <c r="T9" i="121"/>
  <c r="S9" i="121"/>
  <c r="P9" i="121"/>
  <c r="O9" i="121"/>
  <c r="L9" i="121"/>
  <c r="K9" i="121"/>
  <c r="H9" i="121"/>
  <c r="G9" i="121"/>
  <c r="AR8" i="121"/>
  <c r="AQ8" i="121"/>
  <c r="AN8" i="121"/>
  <c r="AM8" i="121"/>
  <c r="AJ8" i="121"/>
  <c r="AI8" i="121"/>
  <c r="AF8" i="121"/>
  <c r="AE8" i="121"/>
  <c r="AB8" i="121"/>
  <c r="AA8" i="121"/>
  <c r="X8" i="121"/>
  <c r="W8" i="121"/>
  <c r="T8" i="121"/>
  <c r="S8" i="121"/>
  <c r="P8" i="121"/>
  <c r="O8" i="121"/>
  <c r="L8" i="121"/>
  <c r="K8" i="121"/>
  <c r="H8" i="121"/>
  <c r="G8" i="121"/>
  <c r="AR7" i="121"/>
  <c r="AQ7" i="121"/>
  <c r="AN7" i="121"/>
  <c r="AM7" i="121"/>
  <c r="AJ7" i="121"/>
  <c r="AI7" i="121"/>
  <c r="AF7" i="121"/>
  <c r="AE7" i="121"/>
  <c r="AB7" i="121"/>
  <c r="AA7" i="121"/>
  <c r="X7" i="121"/>
  <c r="W7" i="121"/>
  <c r="T7" i="121"/>
  <c r="S7" i="121"/>
  <c r="P7" i="121"/>
  <c r="O7" i="121"/>
  <c r="L7" i="121"/>
  <c r="K7" i="121"/>
  <c r="H7" i="121"/>
  <c r="G7" i="121"/>
  <c r="AR6" i="121"/>
  <c r="AQ6" i="121"/>
  <c r="AP6" i="121"/>
  <c r="AP7" i="121" s="1"/>
  <c r="AP8" i="121" s="1"/>
  <c r="AP9" i="121" s="1"/>
  <c r="AP10" i="121" s="1"/>
  <c r="AP11" i="121" s="1"/>
  <c r="AP12" i="121" s="1"/>
  <c r="AP13" i="121" s="1"/>
  <c r="AP14" i="121" s="1"/>
  <c r="AN6" i="121"/>
  <c r="AM6" i="121"/>
  <c r="AL6" i="121"/>
  <c r="AL7" i="121" s="1"/>
  <c r="AL8" i="121" s="1"/>
  <c r="AL9" i="121" s="1"/>
  <c r="AL10" i="121" s="1"/>
  <c r="AL11" i="121" s="1"/>
  <c r="AL12" i="121" s="1"/>
  <c r="AL13" i="121" s="1"/>
  <c r="AL14" i="121" s="1"/>
  <c r="AJ6" i="121"/>
  <c r="AI6" i="121"/>
  <c r="AF6" i="121"/>
  <c r="AE6" i="121"/>
  <c r="AB6" i="121"/>
  <c r="AA6" i="121"/>
  <c r="X6" i="121"/>
  <c r="W6" i="121"/>
  <c r="T6" i="121"/>
  <c r="S6" i="121"/>
  <c r="P6" i="121"/>
  <c r="O6" i="121"/>
  <c r="L6" i="121"/>
  <c r="K6" i="121"/>
  <c r="H6" i="121"/>
  <c r="G6" i="121"/>
  <c r="B15" i="120"/>
  <c r="AQ14" i="120"/>
  <c r="AR14" i="120" s="1"/>
  <c r="AM14" i="120"/>
  <c r="AN14" i="120" s="1"/>
  <c r="AQ13" i="120"/>
  <c r="AR13" i="120" s="1"/>
  <c r="AM13" i="120"/>
  <c r="AN13" i="120" s="1"/>
  <c r="B13" i="120"/>
  <c r="AQ12" i="120"/>
  <c r="AR12" i="120" s="1"/>
  <c r="AM12" i="120"/>
  <c r="AN12" i="120" s="1"/>
  <c r="AI12" i="120"/>
  <c r="AJ12" i="120" s="1"/>
  <c r="AE12" i="120"/>
  <c r="AF12" i="120" s="1"/>
  <c r="AA12" i="120"/>
  <c r="AB12" i="120" s="1"/>
  <c r="W12" i="120"/>
  <c r="X12" i="120" s="1"/>
  <c r="S12" i="120"/>
  <c r="T12" i="120" s="1"/>
  <c r="O12" i="120"/>
  <c r="P12" i="120" s="1"/>
  <c r="K12" i="120"/>
  <c r="L12" i="120" s="1"/>
  <c r="G12" i="120"/>
  <c r="H12" i="120" s="1"/>
  <c r="AQ11" i="120"/>
  <c r="AR11" i="120" s="1"/>
  <c r="AM11" i="120"/>
  <c r="AN11" i="120" s="1"/>
  <c r="AI11" i="120"/>
  <c r="AJ11" i="120" s="1"/>
  <c r="AE11" i="120"/>
  <c r="AF11" i="120" s="1"/>
  <c r="AA11" i="120"/>
  <c r="AB11" i="120" s="1"/>
  <c r="W11" i="120"/>
  <c r="X11" i="120" s="1"/>
  <c r="S11" i="120"/>
  <c r="T11" i="120" s="1"/>
  <c r="O11" i="120"/>
  <c r="P11" i="120" s="1"/>
  <c r="K11" i="120"/>
  <c r="L11" i="120" s="1"/>
  <c r="G11" i="120"/>
  <c r="H11" i="120" s="1"/>
  <c r="AR10" i="120"/>
  <c r="AQ10" i="120"/>
  <c r="AN10" i="120"/>
  <c r="AM10" i="120"/>
  <c r="AJ10" i="120"/>
  <c r="AI10" i="120"/>
  <c r="AF10" i="120"/>
  <c r="AE10" i="120"/>
  <c r="AB10" i="120"/>
  <c r="AA10" i="120"/>
  <c r="X10" i="120"/>
  <c r="W10" i="120"/>
  <c r="T10" i="120"/>
  <c r="S10" i="120"/>
  <c r="P10" i="120"/>
  <c r="O10" i="120"/>
  <c r="L10" i="120"/>
  <c r="K10" i="120"/>
  <c r="H10" i="120"/>
  <c r="G10" i="120"/>
  <c r="AR9" i="120"/>
  <c r="AQ9" i="120"/>
  <c r="AN9" i="120"/>
  <c r="AM9" i="120"/>
  <c r="AJ9" i="120"/>
  <c r="AI9" i="120"/>
  <c r="AF9" i="120"/>
  <c r="AE9" i="120"/>
  <c r="AB9" i="120"/>
  <c r="AA9" i="120"/>
  <c r="X9" i="120"/>
  <c r="W9" i="120"/>
  <c r="T9" i="120"/>
  <c r="S9" i="120"/>
  <c r="P9" i="120"/>
  <c r="O9" i="120"/>
  <c r="L9" i="120"/>
  <c r="K9" i="120"/>
  <c r="H9" i="120"/>
  <c r="G9" i="120"/>
  <c r="AR8" i="120"/>
  <c r="AQ8" i="120"/>
  <c r="AN8" i="120"/>
  <c r="AM8" i="120"/>
  <c r="AJ8" i="120"/>
  <c r="AI8" i="120"/>
  <c r="AF8" i="120"/>
  <c r="AE8" i="120"/>
  <c r="AB8" i="120"/>
  <c r="AA8" i="120"/>
  <c r="X8" i="120"/>
  <c r="W8" i="120"/>
  <c r="T8" i="120"/>
  <c r="S8" i="120"/>
  <c r="P8" i="120"/>
  <c r="O8" i="120"/>
  <c r="L8" i="120"/>
  <c r="K8" i="120"/>
  <c r="H8" i="120"/>
  <c r="G8" i="120"/>
  <c r="AR7" i="120"/>
  <c r="AQ7" i="120"/>
  <c r="AP7" i="120"/>
  <c r="AP8" i="120" s="1"/>
  <c r="AP9" i="120" s="1"/>
  <c r="AP10" i="120" s="1"/>
  <c r="AP11" i="120" s="1"/>
  <c r="AP12" i="120" s="1"/>
  <c r="AP13" i="120" s="1"/>
  <c r="AP14" i="120" s="1"/>
  <c r="AN7" i="120"/>
  <c r="AM7" i="120"/>
  <c r="AJ7" i="120"/>
  <c r="AI7" i="120"/>
  <c r="AF7" i="120"/>
  <c r="AE7" i="120"/>
  <c r="AB7" i="120"/>
  <c r="AA7" i="120"/>
  <c r="X7" i="120"/>
  <c r="W7" i="120"/>
  <c r="T7" i="120"/>
  <c r="S7" i="120"/>
  <c r="P7" i="120"/>
  <c r="O7" i="120"/>
  <c r="L7" i="120"/>
  <c r="K7" i="120"/>
  <c r="H7" i="120"/>
  <c r="G7" i="120"/>
  <c r="AR6" i="120"/>
  <c r="AQ6" i="120"/>
  <c r="AP6" i="120"/>
  <c r="AN6" i="120"/>
  <c r="AM6" i="120"/>
  <c r="AL6" i="120"/>
  <c r="AL7" i="120" s="1"/>
  <c r="AL8" i="120" s="1"/>
  <c r="AL9" i="120" s="1"/>
  <c r="AL10" i="120" s="1"/>
  <c r="AL11" i="120" s="1"/>
  <c r="AL12" i="120" s="1"/>
  <c r="AL13" i="120" s="1"/>
  <c r="AL14" i="120" s="1"/>
  <c r="AJ6" i="120"/>
  <c r="AI6" i="120"/>
  <c r="AF6" i="120"/>
  <c r="AE6" i="120"/>
  <c r="AB6" i="120"/>
  <c r="AA6" i="120"/>
  <c r="X6" i="120"/>
  <c r="W6" i="120"/>
  <c r="T6" i="120"/>
  <c r="S6" i="120"/>
  <c r="P6" i="120"/>
  <c r="O6" i="120"/>
  <c r="L6" i="120"/>
  <c r="K6" i="120"/>
  <c r="H6" i="120"/>
  <c r="G6" i="120"/>
  <c r="B15" i="119"/>
  <c r="AQ14" i="119"/>
  <c r="AR14" i="119" s="1"/>
  <c r="AM14" i="119"/>
  <c r="AN14" i="119" s="1"/>
  <c r="AQ13" i="119"/>
  <c r="AR13" i="119" s="1"/>
  <c r="AM13" i="119"/>
  <c r="AN13" i="119" s="1"/>
  <c r="AI13" i="119"/>
  <c r="AJ13" i="119" s="1"/>
  <c r="AE13" i="119"/>
  <c r="AF13" i="119" s="1"/>
  <c r="AA13" i="119"/>
  <c r="AB13" i="119" s="1"/>
  <c r="W13" i="119"/>
  <c r="X13" i="119" s="1"/>
  <c r="S13" i="119"/>
  <c r="T13" i="119" s="1"/>
  <c r="O13" i="119"/>
  <c r="P13" i="119" s="1"/>
  <c r="K13" i="119"/>
  <c r="L13" i="119" s="1"/>
  <c r="G13" i="119"/>
  <c r="H13" i="119" s="1"/>
  <c r="B13" i="119"/>
  <c r="AQ12" i="119"/>
  <c r="AR12" i="119" s="1"/>
  <c r="AM12" i="119"/>
  <c r="AN12" i="119" s="1"/>
  <c r="AI12" i="119"/>
  <c r="AJ12" i="119" s="1"/>
  <c r="AE12" i="119"/>
  <c r="AF12" i="119" s="1"/>
  <c r="AA12" i="119"/>
  <c r="AB12" i="119" s="1"/>
  <c r="W12" i="119"/>
  <c r="X12" i="119" s="1"/>
  <c r="S12" i="119"/>
  <c r="T12" i="119" s="1"/>
  <c r="O12" i="119"/>
  <c r="P12" i="119" s="1"/>
  <c r="K12" i="119"/>
  <c r="L12" i="119" s="1"/>
  <c r="G12" i="119"/>
  <c r="H12" i="119" s="1"/>
  <c r="AQ11" i="119"/>
  <c r="AR11" i="119" s="1"/>
  <c r="AM11" i="119"/>
  <c r="AN11" i="119" s="1"/>
  <c r="AI11" i="119"/>
  <c r="AJ11" i="119" s="1"/>
  <c r="AE11" i="119"/>
  <c r="AF11" i="119" s="1"/>
  <c r="AA11" i="119"/>
  <c r="AB11" i="119" s="1"/>
  <c r="W11" i="119"/>
  <c r="X11" i="119" s="1"/>
  <c r="S11" i="119"/>
  <c r="T11" i="119" s="1"/>
  <c r="O11" i="119"/>
  <c r="P11" i="119" s="1"/>
  <c r="K11" i="119"/>
  <c r="L11" i="119" s="1"/>
  <c r="G11" i="119"/>
  <c r="H11" i="119" s="1"/>
  <c r="AR10" i="119"/>
  <c r="AQ10" i="119"/>
  <c r="AN10" i="119"/>
  <c r="AM10" i="119"/>
  <c r="AJ10" i="119"/>
  <c r="AI10" i="119"/>
  <c r="AF10" i="119"/>
  <c r="AE10" i="119"/>
  <c r="AB10" i="119"/>
  <c r="AA10" i="119"/>
  <c r="X10" i="119"/>
  <c r="W10" i="119"/>
  <c r="T10" i="119"/>
  <c r="S10" i="119"/>
  <c r="P10" i="119"/>
  <c r="O10" i="119"/>
  <c r="L10" i="119"/>
  <c r="K10" i="119"/>
  <c r="H10" i="119"/>
  <c r="G10" i="119"/>
  <c r="AR9" i="119"/>
  <c r="AQ9" i="119"/>
  <c r="AN9" i="119"/>
  <c r="AM9" i="119"/>
  <c r="AJ9" i="119"/>
  <c r="AI9" i="119"/>
  <c r="AF9" i="119"/>
  <c r="AE9" i="119"/>
  <c r="AB9" i="119"/>
  <c r="AA9" i="119"/>
  <c r="X9" i="119"/>
  <c r="W9" i="119"/>
  <c r="T9" i="119"/>
  <c r="S9" i="119"/>
  <c r="P9" i="119"/>
  <c r="O9" i="119"/>
  <c r="L9" i="119"/>
  <c r="K9" i="119"/>
  <c r="H9" i="119"/>
  <c r="G9" i="119"/>
  <c r="AR8" i="119"/>
  <c r="AQ8" i="119"/>
  <c r="AN8" i="119"/>
  <c r="AM8" i="119"/>
  <c r="AJ8" i="119"/>
  <c r="AI8" i="119"/>
  <c r="AF8" i="119"/>
  <c r="AE8" i="119"/>
  <c r="AB8" i="119"/>
  <c r="AA8" i="119"/>
  <c r="X8" i="119"/>
  <c r="W8" i="119"/>
  <c r="T8" i="119"/>
  <c r="S8" i="119"/>
  <c r="P8" i="119"/>
  <c r="O8" i="119"/>
  <c r="L8" i="119"/>
  <c r="K8" i="119"/>
  <c r="H8" i="119"/>
  <c r="G8" i="119"/>
  <c r="AR7" i="119"/>
  <c r="AQ7" i="119"/>
  <c r="AN7" i="119"/>
  <c r="AM7" i="119"/>
  <c r="AJ7" i="119"/>
  <c r="AI7" i="119"/>
  <c r="AF7" i="119"/>
  <c r="AE7" i="119"/>
  <c r="AB7" i="119"/>
  <c r="AA7" i="119"/>
  <c r="X7" i="119"/>
  <c r="W7" i="119"/>
  <c r="T7" i="119"/>
  <c r="S7" i="119"/>
  <c r="P7" i="119"/>
  <c r="O7" i="119"/>
  <c r="L7" i="119"/>
  <c r="K7" i="119"/>
  <c r="H7" i="119"/>
  <c r="G7" i="119"/>
  <c r="AR6" i="119"/>
  <c r="AQ6" i="119"/>
  <c r="AP6" i="119"/>
  <c r="AP7" i="119" s="1"/>
  <c r="AP8" i="119" s="1"/>
  <c r="AP9" i="119" s="1"/>
  <c r="AP10" i="119" s="1"/>
  <c r="AP11" i="119" s="1"/>
  <c r="AP12" i="119" s="1"/>
  <c r="AP13" i="119" s="1"/>
  <c r="AP14" i="119" s="1"/>
  <c r="AN6" i="119"/>
  <c r="AM6" i="119"/>
  <c r="AL6" i="119"/>
  <c r="AL7" i="119" s="1"/>
  <c r="AL8" i="119" s="1"/>
  <c r="AL9" i="119" s="1"/>
  <c r="AL10" i="119" s="1"/>
  <c r="AL11" i="119" s="1"/>
  <c r="AL12" i="119" s="1"/>
  <c r="AL13" i="119" s="1"/>
  <c r="AL14" i="119" s="1"/>
  <c r="AJ6" i="119"/>
  <c r="AI6" i="119"/>
  <c r="AF6" i="119"/>
  <c r="AE6" i="119"/>
  <c r="AB6" i="119"/>
  <c r="AA6" i="119"/>
  <c r="X6" i="119"/>
  <c r="W6" i="119"/>
  <c r="T6" i="119"/>
  <c r="S6" i="119"/>
  <c r="P6" i="119"/>
  <c r="O6" i="119"/>
  <c r="L6" i="119"/>
  <c r="K6" i="119"/>
  <c r="H6" i="119"/>
  <c r="G6" i="119"/>
  <c r="B15" i="118"/>
  <c r="AQ14" i="118"/>
  <c r="AR14" i="118" s="1"/>
  <c r="AM14" i="118"/>
  <c r="AN14" i="118" s="1"/>
  <c r="AQ13" i="118"/>
  <c r="AR13" i="118" s="1"/>
  <c r="AM13" i="118"/>
  <c r="AN13" i="118" s="1"/>
  <c r="B13" i="118"/>
  <c r="AQ12" i="118"/>
  <c r="AR12" i="118" s="1"/>
  <c r="AQ11" i="118"/>
  <c r="AR11" i="118" s="1"/>
  <c r="AR10" i="118"/>
  <c r="AQ10" i="118"/>
  <c r="AN10" i="118"/>
  <c r="AM10" i="118"/>
  <c r="AJ10" i="118"/>
  <c r="AI10" i="118"/>
  <c r="AF10" i="118"/>
  <c r="AE10" i="118"/>
  <c r="AB10" i="118"/>
  <c r="AA10" i="118"/>
  <c r="X10" i="118"/>
  <c r="W10" i="118"/>
  <c r="T10" i="118"/>
  <c r="S10" i="118"/>
  <c r="P10" i="118"/>
  <c r="O10" i="118"/>
  <c r="L10" i="118"/>
  <c r="K10" i="118"/>
  <c r="H10" i="118"/>
  <c r="G10" i="118"/>
  <c r="AR9" i="118"/>
  <c r="AQ9" i="118"/>
  <c r="AN9" i="118"/>
  <c r="AM9" i="118"/>
  <c r="AJ9" i="118"/>
  <c r="AI9" i="118"/>
  <c r="AF9" i="118"/>
  <c r="AE9" i="118"/>
  <c r="AB9" i="118"/>
  <c r="AA9" i="118"/>
  <c r="X9" i="118"/>
  <c r="W9" i="118"/>
  <c r="T9" i="118"/>
  <c r="S9" i="118"/>
  <c r="P9" i="118"/>
  <c r="O9" i="118"/>
  <c r="L9" i="118"/>
  <c r="K9" i="118"/>
  <c r="H9" i="118"/>
  <c r="G9" i="118"/>
  <c r="AR8" i="118"/>
  <c r="AQ8" i="118"/>
  <c r="AN8" i="118"/>
  <c r="AM8" i="118"/>
  <c r="AJ8" i="118"/>
  <c r="AI8" i="118"/>
  <c r="AF8" i="118"/>
  <c r="AE8" i="118"/>
  <c r="AB8" i="118"/>
  <c r="AA8" i="118"/>
  <c r="X8" i="118"/>
  <c r="W8" i="118"/>
  <c r="T8" i="118"/>
  <c r="S8" i="118"/>
  <c r="P8" i="118"/>
  <c r="O8" i="118"/>
  <c r="L8" i="118"/>
  <c r="K8" i="118"/>
  <c r="H8" i="118"/>
  <c r="G8" i="118"/>
  <c r="AR7" i="118"/>
  <c r="AQ7" i="118"/>
  <c r="AN7" i="118"/>
  <c r="AM7" i="118"/>
  <c r="AJ7" i="118"/>
  <c r="AI7" i="118"/>
  <c r="AF7" i="118"/>
  <c r="AE7" i="118"/>
  <c r="AB7" i="118"/>
  <c r="AA7" i="118"/>
  <c r="X7" i="118"/>
  <c r="W7" i="118"/>
  <c r="T7" i="118"/>
  <c r="S7" i="118"/>
  <c r="P7" i="118"/>
  <c r="O7" i="118"/>
  <c r="L7" i="118"/>
  <c r="K7" i="118"/>
  <c r="H7" i="118"/>
  <c r="G7" i="118"/>
  <c r="AR6" i="118"/>
  <c r="AQ6" i="118"/>
  <c r="AP6" i="118"/>
  <c r="AP7" i="118" s="1"/>
  <c r="AP8" i="118" s="1"/>
  <c r="AP9" i="118" s="1"/>
  <c r="AP10" i="118" s="1"/>
  <c r="AP11" i="118" s="1"/>
  <c r="AP12" i="118" s="1"/>
  <c r="AP13" i="118" s="1"/>
  <c r="AP14" i="118" s="1"/>
  <c r="AN6" i="118"/>
  <c r="AM6" i="118"/>
  <c r="AJ6" i="118"/>
  <c r="AI6" i="118"/>
  <c r="AF6" i="118"/>
  <c r="AE6" i="118"/>
  <c r="AB6" i="118"/>
  <c r="AA6" i="118"/>
  <c r="X6" i="118"/>
  <c r="W6" i="118"/>
  <c r="T6" i="118"/>
  <c r="S6" i="118"/>
  <c r="P6" i="118"/>
  <c r="O6" i="118"/>
  <c r="L6" i="118"/>
  <c r="K6" i="118"/>
  <c r="H6" i="118"/>
  <c r="G6" i="118"/>
  <c r="B15" i="117"/>
  <c r="AR14" i="117"/>
  <c r="AQ14" i="117"/>
  <c r="AN14" i="117"/>
  <c r="AM14" i="117"/>
  <c r="AJ14" i="117"/>
  <c r="AI14" i="117"/>
  <c r="AF14" i="117"/>
  <c r="AE14" i="117"/>
  <c r="AB14" i="117"/>
  <c r="AA14" i="117"/>
  <c r="X14" i="117"/>
  <c r="W14" i="117"/>
  <c r="T14" i="117"/>
  <c r="S14" i="117"/>
  <c r="P14" i="117"/>
  <c r="O14" i="117"/>
  <c r="L14" i="117"/>
  <c r="K14" i="117"/>
  <c r="H14" i="117"/>
  <c r="G14" i="117"/>
  <c r="AR13" i="117"/>
  <c r="AQ13" i="117"/>
  <c r="AN13" i="117"/>
  <c r="AM13" i="117"/>
  <c r="AJ13" i="117"/>
  <c r="AI13" i="117"/>
  <c r="AF13" i="117"/>
  <c r="AE13" i="117"/>
  <c r="AB13" i="117"/>
  <c r="AA13" i="117"/>
  <c r="X13" i="117"/>
  <c r="W13" i="117"/>
  <c r="T13" i="117"/>
  <c r="S13" i="117"/>
  <c r="P13" i="117"/>
  <c r="O13" i="117"/>
  <c r="L13" i="117"/>
  <c r="K13" i="117"/>
  <c r="H13" i="117"/>
  <c r="G13" i="117"/>
  <c r="B13" i="117"/>
  <c r="AR12" i="117"/>
  <c r="AQ12" i="117"/>
  <c r="AN12" i="117"/>
  <c r="AM12" i="117"/>
  <c r="AJ12" i="117"/>
  <c r="AI12" i="117"/>
  <c r="AF12" i="117"/>
  <c r="AE12" i="117"/>
  <c r="AB12" i="117"/>
  <c r="AA12" i="117"/>
  <c r="X12" i="117"/>
  <c r="W12" i="117"/>
  <c r="T12" i="117"/>
  <c r="S12" i="117"/>
  <c r="P12" i="117"/>
  <c r="O12" i="117"/>
  <c r="L12" i="117"/>
  <c r="K12" i="117"/>
  <c r="H12" i="117"/>
  <c r="G12" i="117"/>
  <c r="AR11" i="117"/>
  <c r="AQ11" i="117"/>
  <c r="AN11" i="117"/>
  <c r="AM11" i="117"/>
  <c r="AJ11" i="117"/>
  <c r="AI11" i="117"/>
  <c r="AF11" i="117"/>
  <c r="AE11" i="117"/>
  <c r="AB11" i="117"/>
  <c r="AA11" i="117"/>
  <c r="X11" i="117"/>
  <c r="W11" i="117"/>
  <c r="T11" i="117"/>
  <c r="S11" i="117"/>
  <c r="P11" i="117"/>
  <c r="O11" i="117"/>
  <c r="L11" i="117"/>
  <c r="K11" i="117"/>
  <c r="H11" i="117"/>
  <c r="G11" i="117"/>
  <c r="AQ10" i="117"/>
  <c r="AR10" i="117" s="1"/>
  <c r="AQ9" i="117"/>
  <c r="AR9" i="117" s="1"/>
  <c r="AQ8" i="117"/>
  <c r="AR8" i="117" s="1"/>
  <c r="AQ7" i="117"/>
  <c r="AR7" i="117" s="1"/>
  <c r="AQ6" i="117"/>
  <c r="AR6" i="117" s="1"/>
  <c r="AP6" i="117"/>
  <c r="AP7" i="117" s="1"/>
  <c r="AP8" i="117" s="1"/>
  <c r="AP9" i="117" s="1"/>
  <c r="AP10" i="117" s="1"/>
  <c r="AP11" i="117" s="1"/>
  <c r="AP12" i="117" s="1"/>
  <c r="AP13" i="117" s="1"/>
  <c r="AP14" i="117" s="1"/>
  <c r="AM6" i="117"/>
  <c r="AN6" i="117" s="1"/>
  <c r="AL6" i="117"/>
  <c r="AL7" i="117" s="1"/>
  <c r="AL8" i="117" s="1"/>
  <c r="AL9" i="117" s="1"/>
  <c r="AL10" i="117" s="1"/>
  <c r="AL11" i="117" s="1"/>
  <c r="AL12" i="117" s="1"/>
  <c r="AL13" i="117" s="1"/>
  <c r="AL14" i="117" s="1"/>
  <c r="B15" i="116"/>
  <c r="AR14" i="116"/>
  <c r="AQ14" i="116"/>
  <c r="AN14" i="116"/>
  <c r="AM14" i="116"/>
  <c r="AJ14" i="116"/>
  <c r="AI14" i="116"/>
  <c r="AF14" i="116"/>
  <c r="AE14" i="116"/>
  <c r="AB14" i="116"/>
  <c r="AA14" i="116"/>
  <c r="X14" i="116"/>
  <c r="W14" i="116"/>
  <c r="T14" i="116"/>
  <c r="S14" i="116"/>
  <c r="P14" i="116"/>
  <c r="O14" i="116"/>
  <c r="L14" i="116"/>
  <c r="K14" i="116"/>
  <c r="H14" i="116"/>
  <c r="G14" i="116"/>
  <c r="AR13" i="116"/>
  <c r="AQ13" i="116"/>
  <c r="AN13" i="116"/>
  <c r="AM13" i="116"/>
  <c r="AJ13" i="116"/>
  <c r="AI13" i="116"/>
  <c r="AF13" i="116"/>
  <c r="AE13" i="116"/>
  <c r="AB13" i="116"/>
  <c r="AA13" i="116"/>
  <c r="X13" i="116"/>
  <c r="W13" i="116"/>
  <c r="T13" i="116"/>
  <c r="S13" i="116"/>
  <c r="P13" i="116"/>
  <c r="O13" i="116"/>
  <c r="L13" i="116"/>
  <c r="K13" i="116"/>
  <c r="H13" i="116"/>
  <c r="G13" i="116"/>
  <c r="B13" i="116"/>
  <c r="AR12" i="116"/>
  <c r="AQ12" i="116"/>
  <c r="AN12" i="116"/>
  <c r="AM12" i="116"/>
  <c r="AJ12" i="116"/>
  <c r="AI12" i="116"/>
  <c r="AF12" i="116"/>
  <c r="AE12" i="116"/>
  <c r="AB12" i="116"/>
  <c r="AA12" i="116"/>
  <c r="X12" i="116"/>
  <c r="W12" i="116"/>
  <c r="T12" i="116"/>
  <c r="S12" i="116"/>
  <c r="P12" i="116"/>
  <c r="O12" i="116"/>
  <c r="L12" i="116"/>
  <c r="K12" i="116"/>
  <c r="H12" i="116"/>
  <c r="G12" i="116"/>
  <c r="AR11" i="116"/>
  <c r="AQ11" i="116"/>
  <c r="AN11" i="116"/>
  <c r="AM11" i="116"/>
  <c r="AJ11" i="116"/>
  <c r="AI11" i="116"/>
  <c r="AF11" i="116"/>
  <c r="AE11" i="116"/>
  <c r="AB11" i="116"/>
  <c r="AA11" i="116"/>
  <c r="X11" i="116"/>
  <c r="W11" i="116"/>
  <c r="T11" i="116"/>
  <c r="S11" i="116"/>
  <c r="P11" i="116"/>
  <c r="O11" i="116"/>
  <c r="L11" i="116"/>
  <c r="K11" i="116"/>
  <c r="H11" i="116"/>
  <c r="G11" i="116"/>
  <c r="AQ10" i="116"/>
  <c r="AR10" i="116" s="1"/>
  <c r="AQ9" i="116"/>
  <c r="AR9" i="116" s="1"/>
  <c r="AQ8" i="116"/>
  <c r="AR8" i="116" s="1"/>
  <c r="AQ7" i="116"/>
  <c r="AR7" i="116" s="1"/>
  <c r="AM7" i="116"/>
  <c r="AN7" i="116" s="1"/>
  <c r="AR6" i="116"/>
  <c r="AQ6" i="116"/>
  <c r="AP6" i="116"/>
  <c r="AP7" i="116" s="1"/>
  <c r="AP8" i="116" s="1"/>
  <c r="AP9" i="116" s="1"/>
  <c r="AP10" i="116" s="1"/>
  <c r="AP11" i="116" s="1"/>
  <c r="AP12" i="116" s="1"/>
  <c r="AP13" i="116" s="1"/>
  <c r="AP14" i="116" s="1"/>
  <c r="AN6" i="116"/>
  <c r="AM6" i="116"/>
  <c r="AL6" i="116"/>
  <c r="AL7" i="116" s="1"/>
  <c r="AL8" i="116" s="1"/>
  <c r="AL9" i="116" s="1"/>
  <c r="AL10" i="116" s="1"/>
  <c r="AL11" i="116" s="1"/>
  <c r="AL12" i="116" s="1"/>
  <c r="AL13" i="116" s="1"/>
  <c r="AL14" i="116" s="1"/>
  <c r="AJ6" i="116"/>
  <c r="AI6" i="116"/>
  <c r="AH6" i="116"/>
  <c r="AH7" i="116" s="1"/>
  <c r="AH8" i="116" s="1"/>
  <c r="AH9" i="116" s="1"/>
  <c r="AH10" i="116" s="1"/>
  <c r="AH11" i="116" s="1"/>
  <c r="AH12" i="116" s="1"/>
  <c r="AH13" i="116" s="1"/>
  <c r="AH14" i="116" s="1"/>
  <c r="AF6" i="116"/>
  <c r="AE6" i="116"/>
  <c r="AB6" i="116"/>
  <c r="AA6" i="116"/>
  <c r="X6" i="116"/>
  <c r="W6" i="116"/>
  <c r="T6" i="116"/>
  <c r="S6" i="116"/>
  <c r="P6" i="116"/>
  <c r="O6" i="116"/>
  <c r="L6" i="116"/>
  <c r="K6" i="116"/>
  <c r="H6" i="116"/>
  <c r="G6" i="116"/>
  <c r="B15" i="115"/>
  <c r="AR14" i="115"/>
  <c r="AQ14" i="115"/>
  <c r="AN14" i="115"/>
  <c r="AM14" i="115"/>
  <c r="AJ14" i="115"/>
  <c r="AI14" i="115"/>
  <c r="AF14" i="115"/>
  <c r="AE14" i="115"/>
  <c r="AB14" i="115"/>
  <c r="AA14" i="115"/>
  <c r="X14" i="115"/>
  <c r="W14" i="115"/>
  <c r="T14" i="115"/>
  <c r="S14" i="115"/>
  <c r="P14" i="115"/>
  <c r="O14" i="115"/>
  <c r="L14" i="115"/>
  <c r="K14" i="115"/>
  <c r="H14" i="115"/>
  <c r="G14" i="115"/>
  <c r="AR13" i="115"/>
  <c r="AQ13" i="115"/>
  <c r="AN13" i="115"/>
  <c r="AM13" i="115"/>
  <c r="AJ13" i="115"/>
  <c r="AI13" i="115"/>
  <c r="AF13" i="115"/>
  <c r="AE13" i="115"/>
  <c r="AB13" i="115"/>
  <c r="AA13" i="115"/>
  <c r="X13" i="115"/>
  <c r="W13" i="115"/>
  <c r="T13" i="115"/>
  <c r="S13" i="115"/>
  <c r="P13" i="115"/>
  <c r="O13" i="115"/>
  <c r="L13" i="115"/>
  <c r="K13" i="115"/>
  <c r="H13" i="115"/>
  <c r="G13" i="115"/>
  <c r="B13" i="115"/>
  <c r="AR12" i="115"/>
  <c r="AQ12" i="115"/>
  <c r="AN12" i="115"/>
  <c r="AM12" i="115"/>
  <c r="AJ12" i="115"/>
  <c r="AI12" i="115"/>
  <c r="AF12" i="115"/>
  <c r="AE12" i="115"/>
  <c r="AB12" i="115"/>
  <c r="AA12" i="115"/>
  <c r="X12" i="115"/>
  <c r="W12" i="115"/>
  <c r="T12" i="115"/>
  <c r="S12" i="115"/>
  <c r="P12" i="115"/>
  <c r="O12" i="115"/>
  <c r="L12" i="115"/>
  <c r="K12" i="115"/>
  <c r="H12" i="115"/>
  <c r="G12" i="115"/>
  <c r="AR11" i="115"/>
  <c r="AQ11" i="115"/>
  <c r="AN11" i="115"/>
  <c r="AM11" i="115"/>
  <c r="AJ11" i="115"/>
  <c r="AI11" i="115"/>
  <c r="AF11" i="115"/>
  <c r="AE11" i="115"/>
  <c r="AB11" i="115"/>
  <c r="AA11" i="115"/>
  <c r="X11" i="115"/>
  <c r="W11" i="115"/>
  <c r="T11" i="115"/>
  <c r="S11" i="115"/>
  <c r="P11" i="115"/>
  <c r="O11" i="115"/>
  <c r="L11" i="115"/>
  <c r="K11" i="115"/>
  <c r="H11" i="115"/>
  <c r="G11" i="115"/>
  <c r="AQ10" i="115"/>
  <c r="AR10" i="115" s="1"/>
  <c r="AM10" i="115"/>
  <c r="AQ9" i="115"/>
  <c r="AR9" i="115" s="1"/>
  <c r="AM9" i="115"/>
  <c r="AQ8" i="115"/>
  <c r="AR8" i="115" s="1"/>
  <c r="AM8" i="115"/>
  <c r="AQ7" i="115"/>
  <c r="AR7" i="115" s="1"/>
  <c r="AM7" i="115"/>
  <c r="AQ6" i="115"/>
  <c r="AR6" i="115" s="1"/>
  <c r="AP6" i="115"/>
  <c r="AP7" i="115" s="1"/>
  <c r="AP8" i="115" s="1"/>
  <c r="AP9" i="115" s="1"/>
  <c r="AP10" i="115" s="1"/>
  <c r="AP11" i="115" s="1"/>
  <c r="AP12" i="115" s="1"/>
  <c r="AP13" i="115" s="1"/>
  <c r="AP14" i="115" s="1"/>
  <c r="AL6" i="115"/>
  <c r="AL7" i="115" s="1"/>
  <c r="AL8" i="115" s="1"/>
  <c r="AL9" i="115" s="1"/>
  <c r="AL10" i="115" s="1"/>
  <c r="AL11" i="115" s="1"/>
  <c r="AL12" i="115" s="1"/>
  <c r="AL13" i="115" s="1"/>
  <c r="AL14" i="115" s="1"/>
  <c r="AH6" i="115"/>
  <c r="AH7" i="115" s="1"/>
  <c r="AH8" i="115" s="1"/>
  <c r="AH9" i="115" s="1"/>
  <c r="AH10" i="115" s="1"/>
  <c r="AH11" i="115" s="1"/>
  <c r="AH12" i="115" s="1"/>
  <c r="AH13" i="115" s="1"/>
  <c r="AH14" i="115" s="1"/>
  <c r="B15" i="114"/>
  <c r="AR14" i="114"/>
  <c r="AQ14" i="114"/>
  <c r="AN14" i="114"/>
  <c r="AM14" i="114"/>
  <c r="AI14" i="114"/>
  <c r="AJ14" i="114" s="1"/>
  <c r="AE14" i="114"/>
  <c r="AF14" i="114" s="1"/>
  <c r="AA14" i="114"/>
  <c r="AB14" i="114" s="1"/>
  <c r="W14" i="114"/>
  <c r="X14" i="114" s="1"/>
  <c r="S14" i="114"/>
  <c r="T14" i="114" s="1"/>
  <c r="O14" i="114"/>
  <c r="AQ13" i="114"/>
  <c r="AR13" i="114" s="1"/>
  <c r="AM13" i="114"/>
  <c r="B13" i="114"/>
  <c r="AR12" i="114"/>
  <c r="AQ12" i="114"/>
  <c r="AN12" i="114"/>
  <c r="AM12" i="114"/>
  <c r="AJ12" i="114"/>
  <c r="AI12" i="114"/>
  <c r="AF12" i="114"/>
  <c r="AE12" i="114"/>
  <c r="AB12" i="114"/>
  <c r="AA12" i="114"/>
  <c r="X12" i="114"/>
  <c r="W12" i="114"/>
  <c r="T12" i="114"/>
  <c r="S12" i="114"/>
  <c r="P12" i="114"/>
  <c r="O12" i="114"/>
  <c r="L12" i="114"/>
  <c r="K12" i="114"/>
  <c r="H12" i="114"/>
  <c r="G12" i="114"/>
  <c r="AR11" i="114"/>
  <c r="AQ11" i="114"/>
  <c r="AN11" i="114"/>
  <c r="AM11" i="114"/>
  <c r="AJ11" i="114"/>
  <c r="AI11" i="114"/>
  <c r="AF11" i="114"/>
  <c r="AE11" i="114"/>
  <c r="AB11" i="114"/>
  <c r="AA11" i="114"/>
  <c r="X11" i="114"/>
  <c r="W11" i="114"/>
  <c r="T11" i="114"/>
  <c r="S11" i="114"/>
  <c r="P11" i="114"/>
  <c r="O11" i="114"/>
  <c r="L11" i="114"/>
  <c r="K11" i="114"/>
  <c r="H11" i="114"/>
  <c r="G11" i="114"/>
  <c r="AQ10" i="114"/>
  <c r="AR10" i="114" s="1"/>
  <c r="AM10" i="114"/>
  <c r="AN10" i="114" s="1"/>
  <c r="AI10" i="114"/>
  <c r="AJ10" i="114" s="1"/>
  <c r="AE10" i="114"/>
  <c r="AF10" i="114" s="1"/>
  <c r="AA10" i="114"/>
  <c r="AB10" i="114" s="1"/>
  <c r="W10" i="114"/>
  <c r="X10" i="114" s="1"/>
  <c r="S10" i="114"/>
  <c r="T10" i="114" s="1"/>
  <c r="O10" i="114"/>
  <c r="P10" i="114" s="1"/>
  <c r="K10" i="114"/>
  <c r="L10" i="114" s="1"/>
  <c r="G10" i="114"/>
  <c r="H10" i="114" s="1"/>
  <c r="AQ9" i="114"/>
  <c r="AR9" i="114" s="1"/>
  <c r="AM9" i="114"/>
  <c r="AN9" i="114" s="1"/>
  <c r="AI9" i="114"/>
  <c r="AJ9" i="114" s="1"/>
  <c r="AE9" i="114"/>
  <c r="AF9" i="114" s="1"/>
  <c r="AA9" i="114"/>
  <c r="AB9" i="114" s="1"/>
  <c r="W9" i="114"/>
  <c r="X9" i="114" s="1"/>
  <c r="S9" i="114"/>
  <c r="T9" i="114" s="1"/>
  <c r="O9" i="114"/>
  <c r="P9" i="114" s="1"/>
  <c r="K9" i="114"/>
  <c r="L9" i="114" s="1"/>
  <c r="G9" i="114"/>
  <c r="H9" i="114" s="1"/>
  <c r="AQ8" i="114"/>
  <c r="AR8" i="114" s="1"/>
  <c r="AM8" i="114"/>
  <c r="AN8" i="114" s="1"/>
  <c r="AI8" i="114"/>
  <c r="AJ8" i="114" s="1"/>
  <c r="AE8" i="114"/>
  <c r="AF8" i="114" s="1"/>
  <c r="AA8" i="114"/>
  <c r="AB8" i="114" s="1"/>
  <c r="W8" i="114"/>
  <c r="X8" i="114" s="1"/>
  <c r="S8" i="114"/>
  <c r="T8" i="114" s="1"/>
  <c r="O8" i="114"/>
  <c r="P8" i="114" s="1"/>
  <c r="K8" i="114"/>
  <c r="L8" i="114" s="1"/>
  <c r="G8" i="114"/>
  <c r="H8" i="114" s="1"/>
  <c r="AQ7" i="114"/>
  <c r="AR7" i="114" s="1"/>
  <c r="AM7" i="114"/>
  <c r="AN7" i="114" s="1"/>
  <c r="AI7" i="114"/>
  <c r="AJ7" i="114" s="1"/>
  <c r="AE7" i="114"/>
  <c r="AF7" i="114" s="1"/>
  <c r="AA7" i="114"/>
  <c r="AB7" i="114" s="1"/>
  <c r="W7" i="114"/>
  <c r="X7" i="114" s="1"/>
  <c r="S7" i="114"/>
  <c r="T7" i="114" s="1"/>
  <c r="O7" i="114"/>
  <c r="P7" i="114" s="1"/>
  <c r="K7" i="114"/>
  <c r="L7" i="114" s="1"/>
  <c r="G7" i="114"/>
  <c r="H7" i="114" s="1"/>
  <c r="AQ6" i="114"/>
  <c r="AR6" i="114" s="1"/>
  <c r="AP6" i="114"/>
  <c r="AP7" i="114" s="1"/>
  <c r="AP8" i="114" s="1"/>
  <c r="AP9" i="114" s="1"/>
  <c r="AP10" i="114" s="1"/>
  <c r="AP11" i="114" s="1"/>
  <c r="AP12" i="114" s="1"/>
  <c r="AP13" i="114" s="1"/>
  <c r="AP14" i="114" s="1"/>
  <c r="AL6" i="114"/>
  <c r="AL7" i="114" s="1"/>
  <c r="AL8" i="114" s="1"/>
  <c r="AL9" i="114" s="1"/>
  <c r="AL10" i="114" s="1"/>
  <c r="AL11" i="114" s="1"/>
  <c r="AL12" i="114" s="1"/>
  <c r="AL13" i="114" s="1"/>
  <c r="AL14" i="114" s="1"/>
  <c r="B15" i="113"/>
  <c r="AR14" i="113"/>
  <c r="AQ14" i="113"/>
  <c r="AN14" i="113"/>
  <c r="AM14" i="113"/>
  <c r="AJ14" i="113"/>
  <c r="AI14" i="113"/>
  <c r="AF14" i="113"/>
  <c r="AE14" i="113"/>
  <c r="AB14" i="113"/>
  <c r="AA14" i="113"/>
  <c r="X14" i="113"/>
  <c r="W14" i="113"/>
  <c r="T14" i="113"/>
  <c r="S14" i="113"/>
  <c r="P14" i="113"/>
  <c r="O14" i="113"/>
  <c r="L14" i="113"/>
  <c r="K14" i="113"/>
  <c r="H14" i="113"/>
  <c r="G14" i="113"/>
  <c r="AR13" i="113"/>
  <c r="AQ13" i="113"/>
  <c r="AN13" i="113"/>
  <c r="AM13" i="113"/>
  <c r="AJ13" i="113"/>
  <c r="AI13" i="113"/>
  <c r="AF13" i="113"/>
  <c r="AE13" i="113"/>
  <c r="AB13" i="113"/>
  <c r="AA13" i="113"/>
  <c r="X13" i="113"/>
  <c r="W13" i="113"/>
  <c r="T13" i="113"/>
  <c r="S13" i="113"/>
  <c r="P13" i="113"/>
  <c r="O13" i="113"/>
  <c r="L13" i="113"/>
  <c r="K13" i="113"/>
  <c r="H13" i="113"/>
  <c r="G13" i="113"/>
  <c r="B13" i="113"/>
  <c r="AQ12" i="113"/>
  <c r="AQ11" i="113"/>
  <c r="AR10" i="113"/>
  <c r="AQ10" i="113"/>
  <c r="AM10" i="113"/>
  <c r="AQ9" i="113"/>
  <c r="AR9" i="113" s="1"/>
  <c r="AQ8" i="113"/>
  <c r="AR8" i="113" s="1"/>
  <c r="AQ7" i="113"/>
  <c r="AR7" i="113" s="1"/>
  <c r="AP7" i="113"/>
  <c r="AP8" i="113" s="1"/>
  <c r="AP9" i="113" s="1"/>
  <c r="AP10" i="113" s="1"/>
  <c r="AP11" i="113" s="1"/>
  <c r="AP12" i="113" s="1"/>
  <c r="AP13" i="113" s="1"/>
  <c r="AP14" i="113" s="1"/>
  <c r="AM7" i="113"/>
  <c r="AN7" i="113" s="1"/>
  <c r="AI7" i="113"/>
  <c r="AJ7" i="113" s="1"/>
  <c r="AR6" i="113"/>
  <c r="AQ6" i="113"/>
  <c r="AP6" i="113"/>
  <c r="AN6" i="113"/>
  <c r="AM6" i="113"/>
  <c r="AL6" i="113"/>
  <c r="AL7" i="113" s="1"/>
  <c r="AL8" i="113" s="1"/>
  <c r="AL9" i="113" s="1"/>
  <c r="AL10" i="113" s="1"/>
  <c r="AL11" i="113" s="1"/>
  <c r="AL12" i="113" s="1"/>
  <c r="AL13" i="113" s="1"/>
  <c r="AL14" i="113" s="1"/>
  <c r="AJ6" i="113"/>
  <c r="AI6" i="113"/>
  <c r="AH6" i="113"/>
  <c r="AH7" i="113" s="1"/>
  <c r="AH8" i="113" s="1"/>
  <c r="AH9" i="113" s="1"/>
  <c r="AH10" i="113" s="1"/>
  <c r="AH11" i="113" s="1"/>
  <c r="AH12" i="113" s="1"/>
  <c r="AH13" i="113" s="1"/>
  <c r="AH14" i="113" s="1"/>
  <c r="AF6" i="113"/>
  <c r="AE6" i="113"/>
  <c r="AB6" i="113"/>
  <c r="AA6" i="113"/>
  <c r="X6" i="113"/>
  <c r="W6" i="113"/>
  <c r="T6" i="113"/>
  <c r="S6" i="113"/>
  <c r="P6" i="113"/>
  <c r="O6" i="113"/>
  <c r="L6" i="113"/>
  <c r="K6" i="113"/>
  <c r="H6" i="113"/>
  <c r="G6" i="113"/>
  <c r="B15" i="112"/>
  <c r="AR14" i="112"/>
  <c r="AQ14" i="112"/>
  <c r="AN14" i="112"/>
  <c r="AM14" i="112"/>
  <c r="AJ14" i="112"/>
  <c r="AI14" i="112"/>
  <c r="AF14" i="112"/>
  <c r="AE14" i="112"/>
  <c r="AB14" i="112"/>
  <c r="AA14" i="112"/>
  <c r="X14" i="112"/>
  <c r="W14" i="112"/>
  <c r="T14" i="112"/>
  <c r="S14" i="112"/>
  <c r="P14" i="112"/>
  <c r="O14" i="112"/>
  <c r="L14" i="112"/>
  <c r="K14" i="112"/>
  <c r="G14" i="112"/>
  <c r="H14" i="112" s="1"/>
  <c r="AQ13" i="112"/>
  <c r="AR13" i="112" s="1"/>
  <c r="AM13" i="112"/>
  <c r="AN13" i="112" s="1"/>
  <c r="B13" i="112"/>
  <c r="AR12" i="112"/>
  <c r="AQ12" i="112"/>
  <c r="AN12" i="112"/>
  <c r="AM12" i="112"/>
  <c r="AJ12" i="112"/>
  <c r="AI12" i="112"/>
  <c r="AF12" i="112"/>
  <c r="AE12" i="112"/>
  <c r="AB12" i="112"/>
  <c r="AA12" i="112"/>
  <c r="X12" i="112"/>
  <c r="W12" i="112"/>
  <c r="T12" i="112"/>
  <c r="S12" i="112"/>
  <c r="P12" i="112"/>
  <c r="O12" i="112"/>
  <c r="L12" i="112"/>
  <c r="K12" i="112"/>
  <c r="H12" i="112"/>
  <c r="G12" i="112"/>
  <c r="AR11" i="112"/>
  <c r="AQ11" i="112"/>
  <c r="AN11" i="112"/>
  <c r="AM11" i="112"/>
  <c r="AJ11" i="112"/>
  <c r="AI11" i="112"/>
  <c r="AF11" i="112"/>
  <c r="AE11" i="112"/>
  <c r="AB11" i="112"/>
  <c r="AA11" i="112"/>
  <c r="X11" i="112"/>
  <c r="W11" i="112"/>
  <c r="T11" i="112"/>
  <c r="S11" i="112"/>
  <c r="P11" i="112"/>
  <c r="O11" i="112"/>
  <c r="L11" i="112"/>
  <c r="K11" i="112"/>
  <c r="H11" i="112"/>
  <c r="G11" i="112"/>
  <c r="AR10" i="112"/>
  <c r="AQ10" i="112"/>
  <c r="AN10" i="112"/>
  <c r="AM10" i="112"/>
  <c r="AJ10" i="112"/>
  <c r="AI10" i="112"/>
  <c r="AF10" i="112"/>
  <c r="AE10" i="112"/>
  <c r="AB10" i="112"/>
  <c r="AA10" i="112"/>
  <c r="X10" i="112"/>
  <c r="W10" i="112"/>
  <c r="T10" i="112"/>
  <c r="S10" i="112"/>
  <c r="P10" i="112"/>
  <c r="O10" i="112"/>
  <c r="L10" i="112"/>
  <c r="K10" i="112"/>
  <c r="H10" i="112"/>
  <c r="G10" i="112"/>
  <c r="AR9" i="112"/>
  <c r="AQ9" i="112"/>
  <c r="AN9" i="112"/>
  <c r="AM9" i="112"/>
  <c r="AJ9" i="112"/>
  <c r="AI9" i="112"/>
  <c r="AF9" i="112"/>
  <c r="AE9" i="112"/>
  <c r="AB9" i="112"/>
  <c r="AA9" i="112"/>
  <c r="X9" i="112"/>
  <c r="W9" i="112"/>
  <c r="T9" i="112"/>
  <c r="S9" i="112"/>
  <c r="P9" i="112"/>
  <c r="O9" i="112"/>
  <c r="L9" i="112"/>
  <c r="K9" i="112"/>
  <c r="H9" i="112"/>
  <c r="G9" i="112"/>
  <c r="AR8" i="112"/>
  <c r="AQ8" i="112"/>
  <c r="AN8" i="112"/>
  <c r="AM8" i="112"/>
  <c r="AJ8" i="112"/>
  <c r="AI8" i="112"/>
  <c r="AF8" i="112"/>
  <c r="AE8" i="112"/>
  <c r="AB8" i="112"/>
  <c r="AA8" i="112"/>
  <c r="X8" i="112"/>
  <c r="W8" i="112"/>
  <c r="T8" i="112"/>
  <c r="S8" i="112"/>
  <c r="P8" i="112"/>
  <c r="O8" i="112"/>
  <c r="L8" i="112"/>
  <c r="K8" i="112"/>
  <c r="H8" i="112"/>
  <c r="G8" i="112"/>
  <c r="AR7" i="112"/>
  <c r="AQ7" i="112"/>
  <c r="AN7" i="112"/>
  <c r="AM7" i="112"/>
  <c r="AJ7" i="112"/>
  <c r="AI7" i="112"/>
  <c r="AF7" i="112"/>
  <c r="AE7" i="112"/>
  <c r="AB7" i="112"/>
  <c r="AA7" i="112"/>
  <c r="X7" i="112"/>
  <c r="W7" i="112"/>
  <c r="T7" i="112"/>
  <c r="S7" i="112"/>
  <c r="P7" i="112"/>
  <c r="O7" i="112"/>
  <c r="L7" i="112"/>
  <c r="K7" i="112"/>
  <c r="H7" i="112"/>
  <c r="G7" i="112"/>
  <c r="AR6" i="112"/>
  <c r="AQ6" i="112"/>
  <c r="AP6" i="112"/>
  <c r="AP7" i="112" s="1"/>
  <c r="AP8" i="112" s="1"/>
  <c r="AP9" i="112" s="1"/>
  <c r="AP10" i="112" s="1"/>
  <c r="AP11" i="112" s="1"/>
  <c r="AP12" i="112" s="1"/>
  <c r="AP13" i="112" s="1"/>
  <c r="AP14" i="112" s="1"/>
  <c r="AN6" i="112"/>
  <c r="AM6" i="112"/>
  <c r="AL6" i="112"/>
  <c r="AL7" i="112" s="1"/>
  <c r="AL8" i="112" s="1"/>
  <c r="AL9" i="112" s="1"/>
  <c r="AL10" i="112" s="1"/>
  <c r="AL11" i="112" s="1"/>
  <c r="AL12" i="112" s="1"/>
  <c r="AL13" i="112" s="1"/>
  <c r="AL14" i="112" s="1"/>
  <c r="AJ6" i="112"/>
  <c r="AI6" i="112"/>
  <c r="AF6" i="112"/>
  <c r="AE6" i="112"/>
  <c r="AB6" i="112"/>
  <c r="AA6" i="112"/>
  <c r="X6" i="112"/>
  <c r="W6" i="112"/>
  <c r="T6" i="112"/>
  <c r="S6" i="112"/>
  <c r="P6" i="112"/>
  <c r="O6" i="112"/>
  <c r="L6" i="112"/>
  <c r="K6" i="112"/>
  <c r="H6" i="112"/>
  <c r="G6" i="112"/>
  <c r="B15" i="111"/>
  <c r="AR14" i="111"/>
  <c r="AQ14" i="111"/>
  <c r="AN14" i="111"/>
  <c r="AM14" i="111"/>
  <c r="AJ14" i="111"/>
  <c r="AI14" i="111"/>
  <c r="AF14" i="111"/>
  <c r="AE14" i="111"/>
  <c r="AB14" i="111"/>
  <c r="AA14" i="111"/>
  <c r="X14" i="111"/>
  <c r="W14" i="111"/>
  <c r="T14" i="111"/>
  <c r="S14" i="111"/>
  <c r="P14" i="111"/>
  <c r="O14" i="111"/>
  <c r="L14" i="111"/>
  <c r="K14" i="111"/>
  <c r="H14" i="111"/>
  <c r="G14" i="111"/>
  <c r="AR13" i="111"/>
  <c r="AQ13" i="111"/>
  <c r="AN13" i="111"/>
  <c r="AM13" i="111"/>
  <c r="AJ13" i="111"/>
  <c r="AI13" i="111"/>
  <c r="AF13" i="111"/>
  <c r="AE13" i="111"/>
  <c r="AB13" i="111"/>
  <c r="AA13" i="111"/>
  <c r="X13" i="111"/>
  <c r="W13" i="111"/>
  <c r="T13" i="111"/>
  <c r="S13" i="111"/>
  <c r="P13" i="111"/>
  <c r="O13" i="111"/>
  <c r="L13" i="111"/>
  <c r="K13" i="111"/>
  <c r="H13" i="111"/>
  <c r="G13" i="111"/>
  <c r="B13" i="111"/>
  <c r="AQ12" i="111"/>
  <c r="AQ11" i="111"/>
  <c r="AR11" i="111" s="1"/>
  <c r="AM11" i="111"/>
  <c r="AQ10" i="111"/>
  <c r="AR9" i="111"/>
  <c r="AQ9" i="111"/>
  <c r="AM9" i="111"/>
  <c r="AN9" i="111" s="1"/>
  <c r="AI9" i="111"/>
  <c r="AQ8" i="111"/>
  <c r="AP8" i="111"/>
  <c r="AP9" i="111" s="1"/>
  <c r="AP10" i="111" s="1"/>
  <c r="AP11" i="111" s="1"/>
  <c r="AP12" i="111" s="1"/>
  <c r="AP13" i="111" s="1"/>
  <c r="AP14" i="111" s="1"/>
  <c r="AR7" i="111"/>
  <c r="AQ7" i="111"/>
  <c r="AN7" i="111"/>
  <c r="AM7" i="111"/>
  <c r="AI7" i="111"/>
  <c r="AQ6" i="111"/>
  <c r="AR6" i="111" s="1"/>
  <c r="AP6" i="111"/>
  <c r="AP7" i="111" s="1"/>
  <c r="AM6" i="111"/>
  <c r="AN6" i="111" s="1"/>
  <c r="AL6" i="111"/>
  <c r="AL7" i="111" s="1"/>
  <c r="AL8" i="111" s="1"/>
  <c r="AL9" i="111" s="1"/>
  <c r="AL10" i="111" s="1"/>
  <c r="AL11" i="111" s="1"/>
  <c r="AL12" i="111" s="1"/>
  <c r="AL13" i="111" s="1"/>
  <c r="AL14" i="111" s="1"/>
  <c r="AI6" i="111"/>
  <c r="AJ6" i="111" s="1"/>
  <c r="AE6" i="111"/>
  <c r="AF6" i="111" s="1"/>
  <c r="AA6" i="111"/>
  <c r="AB6" i="111" s="1"/>
  <c r="W6" i="111"/>
  <c r="X6" i="111" s="1"/>
  <c r="S6" i="111"/>
  <c r="T6" i="111" s="1"/>
  <c r="O6" i="111"/>
  <c r="P6" i="111" s="1"/>
  <c r="K6" i="111"/>
  <c r="L6" i="111" s="1"/>
  <c r="G6" i="111"/>
  <c r="H6" i="111" s="1"/>
  <c r="B15" i="110"/>
  <c r="AQ14" i="110"/>
  <c r="AQ13" i="110"/>
  <c r="B13" i="110"/>
  <c r="AQ12" i="110"/>
  <c r="AR12" i="110" s="1"/>
  <c r="AQ11" i="110"/>
  <c r="AR11" i="110" s="1"/>
  <c r="AM11" i="110"/>
  <c r="AN11" i="110" s="1"/>
  <c r="AI11" i="110"/>
  <c r="AJ11" i="110" s="1"/>
  <c r="AE11" i="110"/>
  <c r="AF11" i="110" s="1"/>
  <c r="AA11" i="110"/>
  <c r="AB11" i="110" s="1"/>
  <c r="W11" i="110"/>
  <c r="X11" i="110" s="1"/>
  <c r="S11" i="110"/>
  <c r="T11" i="110" s="1"/>
  <c r="O11" i="110"/>
  <c r="P11" i="110" s="1"/>
  <c r="K11" i="110"/>
  <c r="L11" i="110" s="1"/>
  <c r="G11" i="110"/>
  <c r="H11" i="110" s="1"/>
  <c r="AQ10" i="110"/>
  <c r="AM10" i="110" s="1"/>
  <c r="AQ9" i="110"/>
  <c r="AR9" i="110" s="1"/>
  <c r="AM9" i="110"/>
  <c r="AN9" i="110" s="1"/>
  <c r="AQ8" i="110"/>
  <c r="AR8" i="110" s="1"/>
  <c r="AM8" i="110"/>
  <c r="AN8" i="110" s="1"/>
  <c r="AI8" i="110"/>
  <c r="AJ8" i="110" s="1"/>
  <c r="AQ7" i="110"/>
  <c r="AM7" i="110" s="1"/>
  <c r="AR6" i="110"/>
  <c r="AQ6" i="110"/>
  <c r="AP6" i="110"/>
  <c r="AP7" i="110" s="1"/>
  <c r="AP8" i="110" s="1"/>
  <c r="AP9" i="110" s="1"/>
  <c r="AP10" i="110" s="1"/>
  <c r="AP11" i="110" s="1"/>
  <c r="AP12" i="110" s="1"/>
  <c r="AP13" i="110" s="1"/>
  <c r="AP14" i="110" s="1"/>
  <c r="AN6" i="110"/>
  <c r="AM6" i="110"/>
  <c r="AL6" i="110"/>
  <c r="AL7" i="110" s="1"/>
  <c r="AL8" i="110" s="1"/>
  <c r="AL9" i="110" s="1"/>
  <c r="AL10" i="110" s="1"/>
  <c r="AL11" i="110" s="1"/>
  <c r="AL12" i="110" s="1"/>
  <c r="AL13" i="110" s="1"/>
  <c r="AL14" i="110" s="1"/>
  <c r="AJ6" i="110"/>
  <c r="AI6" i="110"/>
  <c r="AF6" i="110"/>
  <c r="AE6" i="110"/>
  <c r="AB6" i="110"/>
  <c r="AA6" i="110"/>
  <c r="X6" i="110"/>
  <c r="W6" i="110"/>
  <c r="T6" i="110"/>
  <c r="S6" i="110"/>
  <c r="P6" i="110"/>
  <c r="O6" i="110"/>
  <c r="L6" i="110"/>
  <c r="K6" i="110"/>
  <c r="H6" i="110"/>
  <c r="G6" i="110"/>
  <c r="B15" i="109"/>
  <c r="AR14" i="109"/>
  <c r="AQ14" i="109"/>
  <c r="AN14" i="109"/>
  <c r="AM14" i="109"/>
  <c r="AJ14" i="109"/>
  <c r="AI14" i="109"/>
  <c r="AF14" i="109"/>
  <c r="AE14" i="109"/>
  <c r="AB14" i="109"/>
  <c r="AA14" i="109"/>
  <c r="X14" i="109"/>
  <c r="W14" i="109"/>
  <c r="T14" i="109"/>
  <c r="S14" i="109"/>
  <c r="P14" i="109"/>
  <c r="O14" i="109"/>
  <c r="L14" i="109"/>
  <c r="K14" i="109"/>
  <c r="H14" i="109"/>
  <c r="G14" i="109"/>
  <c r="AR13" i="109"/>
  <c r="AQ13" i="109"/>
  <c r="AN13" i="109"/>
  <c r="AM13" i="109"/>
  <c r="AJ13" i="109"/>
  <c r="AI13" i="109"/>
  <c r="AF13" i="109"/>
  <c r="AE13" i="109"/>
  <c r="AB13" i="109"/>
  <c r="AA13" i="109"/>
  <c r="X13" i="109"/>
  <c r="W13" i="109"/>
  <c r="T13" i="109"/>
  <c r="S13" i="109"/>
  <c r="P13" i="109"/>
  <c r="O13" i="109"/>
  <c r="L13" i="109"/>
  <c r="K13" i="109"/>
  <c r="H13" i="109"/>
  <c r="G13" i="109"/>
  <c r="B13" i="109"/>
  <c r="AR12" i="109"/>
  <c r="AQ12" i="109"/>
  <c r="AN12" i="109"/>
  <c r="AM12" i="109"/>
  <c r="AJ12" i="109"/>
  <c r="AI12" i="109"/>
  <c r="AF12" i="109"/>
  <c r="AE12" i="109"/>
  <c r="AB12" i="109"/>
  <c r="AA12" i="109"/>
  <c r="X12" i="109"/>
  <c r="W12" i="109"/>
  <c r="T12" i="109"/>
  <c r="S12" i="109"/>
  <c r="P12" i="109"/>
  <c r="O12" i="109"/>
  <c r="L12" i="109"/>
  <c r="K12" i="109"/>
  <c r="H12" i="109"/>
  <c r="G12" i="109"/>
  <c r="AR11" i="109"/>
  <c r="AQ11" i="109"/>
  <c r="AN11" i="109"/>
  <c r="AM11" i="109"/>
  <c r="AJ11" i="109"/>
  <c r="AI11" i="109"/>
  <c r="AF11" i="109"/>
  <c r="AE11" i="109"/>
  <c r="AB11" i="109"/>
  <c r="AA11" i="109"/>
  <c r="X11" i="109"/>
  <c r="W11" i="109"/>
  <c r="T11" i="109"/>
  <c r="S11" i="109"/>
  <c r="P11" i="109"/>
  <c r="O11" i="109"/>
  <c r="L11" i="109"/>
  <c r="K11" i="109"/>
  <c r="H11" i="109"/>
  <c r="G11" i="109"/>
  <c r="AQ10" i="109"/>
  <c r="AR10" i="109" s="1"/>
  <c r="AM10" i="109"/>
  <c r="AN10" i="109" s="1"/>
  <c r="AQ9" i="109"/>
  <c r="AR9" i="109" s="1"/>
  <c r="AM9" i="109"/>
  <c r="AN9" i="109" s="1"/>
  <c r="AQ8" i="109"/>
  <c r="AR8" i="109" s="1"/>
  <c r="AM8" i="109"/>
  <c r="AN8" i="109" s="1"/>
  <c r="AQ7" i="109"/>
  <c r="AR7" i="109" s="1"/>
  <c r="AM7" i="109"/>
  <c r="AN7" i="109" s="1"/>
  <c r="AQ6" i="109"/>
  <c r="AR6" i="109" s="1"/>
  <c r="AP6" i="109"/>
  <c r="AP7" i="109" s="1"/>
  <c r="AP8" i="109" s="1"/>
  <c r="AP9" i="109" s="1"/>
  <c r="AP10" i="109" s="1"/>
  <c r="AP11" i="109" s="1"/>
  <c r="AP12" i="109" s="1"/>
  <c r="AP13" i="109" s="1"/>
  <c r="AP14" i="109" s="1"/>
  <c r="G14" i="1"/>
  <c r="G13" i="1"/>
  <c r="G12" i="1"/>
  <c r="G11" i="1"/>
  <c r="G10" i="1"/>
  <c r="G9" i="1"/>
  <c r="G8" i="1"/>
  <c r="G7" i="1"/>
  <c r="G6" i="1"/>
  <c r="K14" i="1"/>
  <c r="K13" i="1"/>
  <c r="K12" i="1"/>
  <c r="K11" i="1"/>
  <c r="K10" i="1"/>
  <c r="K9" i="1"/>
  <c r="K8" i="1"/>
  <c r="K7" i="1"/>
  <c r="K6" i="1"/>
  <c r="O14" i="1"/>
  <c r="O13" i="1"/>
  <c r="O12" i="1"/>
  <c r="O11" i="1"/>
  <c r="O10" i="1"/>
  <c r="O9" i="1"/>
  <c r="O8" i="1"/>
  <c r="O7" i="1"/>
  <c r="O6" i="1"/>
  <c r="S14" i="1"/>
  <c r="S13" i="1"/>
  <c r="S12" i="1"/>
  <c r="S11" i="1"/>
  <c r="S10" i="1"/>
  <c r="S9" i="1"/>
  <c r="S8" i="1"/>
  <c r="S7" i="1"/>
  <c r="S6" i="1"/>
  <c r="W14" i="1"/>
  <c r="W13" i="1"/>
  <c r="W12" i="1"/>
  <c r="W11" i="1"/>
  <c r="W10" i="1"/>
  <c r="W9" i="1"/>
  <c r="W8" i="1"/>
  <c r="W7" i="1"/>
  <c r="W6" i="1"/>
  <c r="AA14" i="1"/>
  <c r="AA13" i="1"/>
  <c r="AA12" i="1"/>
  <c r="AA11" i="1"/>
  <c r="AA10" i="1"/>
  <c r="AA9" i="1"/>
  <c r="AA8" i="1"/>
  <c r="AA7" i="1"/>
  <c r="AA6" i="1"/>
  <c r="AE14" i="1"/>
  <c r="AE13" i="1"/>
  <c r="AE12" i="1"/>
  <c r="AE11" i="1"/>
  <c r="AE10" i="1"/>
  <c r="AE9" i="1"/>
  <c r="AE8" i="1"/>
  <c r="AE7" i="1"/>
  <c r="AE6" i="1"/>
  <c r="AI14" i="1"/>
  <c r="AI13" i="1"/>
  <c r="AI12" i="1"/>
  <c r="AI11" i="1"/>
  <c r="AI10" i="1"/>
  <c r="AI9" i="1"/>
  <c r="AI8" i="1"/>
  <c r="AI7" i="1"/>
  <c r="AI6" i="1"/>
  <c r="AM14" i="1"/>
  <c r="AM13" i="1"/>
  <c r="AM12" i="1"/>
  <c r="AM11" i="1"/>
  <c r="AM10" i="1"/>
  <c r="AM8" i="1"/>
  <c r="AM7" i="1"/>
  <c r="AM6" i="1"/>
  <c r="AM9" i="1"/>
  <c r="AQ14" i="1"/>
  <c r="AQ13" i="1"/>
  <c r="AQ12" i="1"/>
  <c r="AQ11" i="1"/>
  <c r="AQ10" i="1"/>
  <c r="AQ9" i="1"/>
  <c r="AQ8" i="1"/>
  <c r="AQ7" i="1"/>
  <c r="AQ6" i="1"/>
  <c r="C5" i="123"/>
  <c r="D5" i="123"/>
  <c r="B5" i="123"/>
  <c r="D7" i="123"/>
  <c r="D5" i="122"/>
  <c r="B7" i="123"/>
  <c r="D7" i="122"/>
  <c r="C5" i="122"/>
  <c r="B5" i="121"/>
  <c r="D5" i="120"/>
  <c r="B5" i="122"/>
  <c r="D5" i="121"/>
  <c r="D7" i="121" s="1"/>
  <c r="D7" i="120"/>
  <c r="B5" i="120"/>
  <c r="B7" i="122"/>
  <c r="C5" i="121"/>
  <c r="C5" i="120"/>
  <c r="B5" i="119"/>
  <c r="B7" i="121"/>
  <c r="B7" i="120"/>
  <c r="D5" i="119"/>
  <c r="D7" i="119" s="1"/>
  <c r="B5" i="118"/>
  <c r="B7" i="118"/>
  <c r="D5" i="118"/>
  <c r="D7" i="118" s="1"/>
  <c r="C5" i="119"/>
  <c r="C5" i="118"/>
  <c r="C5" i="117"/>
  <c r="B7" i="119"/>
  <c r="D5" i="117"/>
  <c r="D7" i="117"/>
  <c r="B5" i="117"/>
  <c r="B7" i="117" s="1"/>
  <c r="D5" i="116"/>
  <c r="D7" i="116"/>
  <c r="B5" i="116"/>
  <c r="B7" i="116" s="1"/>
  <c r="C5" i="116"/>
  <c r="C5" i="115"/>
  <c r="B5" i="115"/>
  <c r="B7" i="115" s="1"/>
  <c r="D5" i="114"/>
  <c r="C5" i="114"/>
  <c r="D5" i="115"/>
  <c r="D7" i="115" s="1"/>
  <c r="C5" i="113"/>
  <c r="B5" i="112"/>
  <c r="B5" i="113"/>
  <c r="B7" i="113" s="1"/>
  <c r="B7" i="112"/>
  <c r="D5" i="113"/>
  <c r="D7" i="114"/>
  <c r="D7" i="113"/>
  <c r="D5" i="112"/>
  <c r="D7" i="112" s="1"/>
  <c r="B5" i="114"/>
  <c r="B7" i="114" s="1"/>
  <c r="C5" i="112"/>
  <c r="C5" i="111"/>
  <c r="B5" i="111"/>
  <c r="D5" i="111"/>
  <c r="D7" i="111" s="1"/>
  <c r="B5" i="110"/>
  <c r="D5" i="110"/>
  <c r="D7" i="110" s="1"/>
  <c r="B7" i="111"/>
  <c r="B7" i="110"/>
  <c r="C5" i="110"/>
  <c r="C5" i="109"/>
  <c r="D5" i="109"/>
  <c r="B5" i="109"/>
  <c r="B7" i="109" s="1"/>
  <c r="D7" i="109"/>
  <c r="AH6" i="110" l="1"/>
  <c r="AH6" i="112"/>
  <c r="AD6" i="113"/>
  <c r="AD6" i="116"/>
  <c r="AL6" i="123"/>
  <c r="AL6" i="109"/>
  <c r="AH6" i="114"/>
  <c r="AD6" i="115"/>
  <c r="AH6" i="117"/>
  <c r="N19" i="116"/>
  <c r="F19" i="116"/>
  <c r="C11" i="116"/>
  <c r="V19" i="116"/>
  <c r="F19" i="117"/>
  <c r="C11" i="117"/>
  <c r="V19" i="117"/>
  <c r="F19" i="119"/>
  <c r="C11" i="119"/>
  <c r="N19" i="117"/>
  <c r="N19" i="118"/>
  <c r="N19" i="119"/>
  <c r="V19" i="118"/>
  <c r="F19" i="118"/>
  <c r="C11" i="118"/>
  <c r="V19" i="119"/>
  <c r="C11" i="120"/>
  <c r="F19" i="120"/>
  <c r="F19" i="121"/>
  <c r="C11" i="121"/>
  <c r="N19" i="120"/>
  <c r="N19" i="121"/>
  <c r="F19" i="122"/>
  <c r="C11" i="122"/>
  <c r="V19" i="120"/>
  <c r="V19" i="121"/>
  <c r="N19" i="122"/>
  <c r="V19" i="122"/>
  <c r="F19" i="123"/>
  <c r="C11" i="123"/>
  <c r="V19" i="123"/>
  <c r="N19" i="123"/>
  <c r="AM8" i="116"/>
  <c r="AM9" i="116"/>
  <c r="AM10" i="116"/>
  <c r="AI7" i="116"/>
  <c r="AI6" i="117"/>
  <c r="AM7" i="117"/>
  <c r="AM8" i="117"/>
  <c r="AM9" i="117"/>
  <c r="AM10" i="117"/>
  <c r="AL6" i="118"/>
  <c r="AM11" i="118"/>
  <c r="AM12" i="118"/>
  <c r="AI13" i="118"/>
  <c r="AI14" i="118"/>
  <c r="AH6" i="119"/>
  <c r="AH6" i="120"/>
  <c r="AI14" i="120"/>
  <c r="AH6" i="121"/>
  <c r="AI14" i="119"/>
  <c r="AI13" i="120"/>
  <c r="AN13" i="121"/>
  <c r="AI13" i="121"/>
  <c r="AM14" i="121"/>
  <c r="AL6" i="122"/>
  <c r="AA13" i="122"/>
  <c r="AI14" i="122"/>
  <c r="AL7" i="123"/>
  <c r="AL8" i="123" s="1"/>
  <c r="AL9" i="123" s="1"/>
  <c r="AL10" i="123" s="1"/>
  <c r="AL11" i="123" s="1"/>
  <c r="AL12" i="123" s="1"/>
  <c r="AL13" i="123" s="1"/>
  <c r="AL14" i="123" s="1"/>
  <c r="AH6" i="123"/>
  <c r="AM6" i="122"/>
  <c r="AI6" i="123"/>
  <c r="N19" i="112"/>
  <c r="F19" i="114"/>
  <c r="C11" i="114"/>
  <c r="V19" i="112"/>
  <c r="V19" i="113"/>
  <c r="V19" i="114"/>
  <c r="F19" i="112"/>
  <c r="C11" i="112"/>
  <c r="F19" i="113"/>
  <c r="C11" i="113"/>
  <c r="N19" i="113"/>
  <c r="V19" i="115"/>
  <c r="N19" i="114"/>
  <c r="F19" i="115"/>
  <c r="C11" i="115"/>
  <c r="N19" i="115"/>
  <c r="AI13" i="112"/>
  <c r="AR11" i="113"/>
  <c r="AM11" i="113"/>
  <c r="P14" i="114"/>
  <c r="K14" i="114"/>
  <c r="AN9" i="115"/>
  <c r="AI9" i="115"/>
  <c r="AE7" i="113"/>
  <c r="AM8" i="113"/>
  <c r="AM9" i="113"/>
  <c r="AN13" i="114"/>
  <c r="AI13" i="114"/>
  <c r="AN10" i="113"/>
  <c r="AI10" i="113"/>
  <c r="AN7" i="115"/>
  <c r="AI7" i="115"/>
  <c r="AR12" i="113"/>
  <c r="AM12" i="113"/>
  <c r="AN8" i="115"/>
  <c r="AI8" i="115"/>
  <c r="AN10" i="115"/>
  <c r="AI10" i="115"/>
  <c r="AM6" i="114"/>
  <c r="AM6" i="115"/>
  <c r="N19" i="110"/>
  <c r="F19" i="110"/>
  <c r="C11" i="110"/>
  <c r="F19" i="111"/>
  <c r="C11" i="111"/>
  <c r="V19" i="110"/>
  <c r="V19" i="111"/>
  <c r="N19" i="111"/>
  <c r="AR13" i="110"/>
  <c r="AM13" i="110"/>
  <c r="AR14" i="110"/>
  <c r="AM14" i="110"/>
  <c r="AI7" i="110"/>
  <c r="AN7" i="110"/>
  <c r="AI10" i="110"/>
  <c r="AN10" i="110"/>
  <c r="AR10" i="111"/>
  <c r="AM10" i="111"/>
  <c r="AE8" i="110"/>
  <c r="AI9" i="110"/>
  <c r="AH6" i="111"/>
  <c r="AR8" i="111"/>
  <c r="AM8" i="111"/>
  <c r="AJ9" i="111"/>
  <c r="AE9" i="111"/>
  <c r="AR12" i="111"/>
  <c r="AM12" i="111"/>
  <c r="AR7" i="110"/>
  <c r="AR10" i="110"/>
  <c r="AM12" i="110"/>
  <c r="AJ7" i="111"/>
  <c r="AE7" i="111"/>
  <c r="AN11" i="111"/>
  <c r="AI11" i="111"/>
  <c r="V19" i="109"/>
  <c r="F19" i="109"/>
  <c r="C11" i="109"/>
  <c r="N19" i="109"/>
  <c r="AM6" i="109"/>
  <c r="AI7" i="109"/>
  <c r="AI8" i="109"/>
  <c r="AI9" i="109"/>
  <c r="AI10" i="109"/>
  <c r="B15" i="1"/>
  <c r="R22" i="117"/>
  <c r="C13" i="118"/>
  <c r="C13" i="117"/>
  <c r="C13" i="122"/>
  <c r="R22" i="122"/>
  <c r="C13" i="123"/>
  <c r="C13" i="119"/>
  <c r="C13" i="121"/>
  <c r="R22" i="123"/>
  <c r="C13" i="120"/>
  <c r="C13" i="116"/>
  <c r="R22" i="121"/>
  <c r="C13" i="113"/>
  <c r="R22" i="114"/>
  <c r="C13" i="112"/>
  <c r="R22" i="113"/>
  <c r="R22" i="115"/>
  <c r="C13" i="114"/>
  <c r="C13" i="115"/>
  <c r="C13" i="110"/>
  <c r="R22" i="111"/>
  <c r="C13" i="111"/>
  <c r="R22" i="109"/>
  <c r="C13" i="109"/>
  <c r="G32" i="3"/>
  <c r="G39" i="3"/>
  <c r="G27" i="3"/>
  <c r="G24" i="3"/>
  <c r="G35" i="3"/>
  <c r="G25" i="3"/>
  <c r="G28" i="3"/>
  <c r="G34" i="3"/>
  <c r="G29" i="3"/>
  <c r="G30" i="3"/>
  <c r="G36" i="3"/>
  <c r="G37" i="3"/>
  <c r="G31" i="3"/>
  <c r="G26" i="3"/>
  <c r="G38" i="3"/>
  <c r="G33" i="3"/>
  <c r="AD6" i="114" l="1"/>
  <c r="AH7" i="114"/>
  <c r="AH8" i="114" s="1"/>
  <c r="AH9" i="114" s="1"/>
  <c r="AH10" i="114" s="1"/>
  <c r="AH11" i="114" s="1"/>
  <c r="AH12" i="114" s="1"/>
  <c r="AH13" i="114" s="1"/>
  <c r="AH14" i="114" s="1"/>
  <c r="AD7" i="113"/>
  <c r="AD8" i="113" s="1"/>
  <c r="AD9" i="113" s="1"/>
  <c r="AD10" i="113" s="1"/>
  <c r="AD11" i="113" s="1"/>
  <c r="AD12" i="113" s="1"/>
  <c r="AD13" i="113" s="1"/>
  <c r="AD14" i="113" s="1"/>
  <c r="Z6" i="113"/>
  <c r="AD7" i="115"/>
  <c r="AD8" i="115" s="1"/>
  <c r="AD9" i="115" s="1"/>
  <c r="AD10" i="115" s="1"/>
  <c r="AD11" i="115" s="1"/>
  <c r="AD12" i="115" s="1"/>
  <c r="AD13" i="115" s="1"/>
  <c r="AD14" i="115" s="1"/>
  <c r="Z6" i="115"/>
  <c r="AD7" i="116"/>
  <c r="AD8" i="116" s="1"/>
  <c r="AD9" i="116" s="1"/>
  <c r="AD10" i="116" s="1"/>
  <c r="AD11" i="116" s="1"/>
  <c r="AD12" i="116" s="1"/>
  <c r="AD13" i="116" s="1"/>
  <c r="AD14" i="116" s="1"/>
  <c r="Z6" i="116"/>
  <c r="AL7" i="109"/>
  <c r="AL8" i="109" s="1"/>
  <c r="AL9" i="109" s="1"/>
  <c r="AL10" i="109" s="1"/>
  <c r="AL11" i="109" s="1"/>
  <c r="AL12" i="109" s="1"/>
  <c r="AL13" i="109" s="1"/>
  <c r="AL14" i="109" s="1"/>
  <c r="AH6" i="109"/>
  <c r="AH7" i="112"/>
  <c r="AH8" i="112" s="1"/>
  <c r="AH9" i="112" s="1"/>
  <c r="AH10" i="112" s="1"/>
  <c r="AH11" i="112" s="1"/>
  <c r="AH12" i="112" s="1"/>
  <c r="AH13" i="112" s="1"/>
  <c r="AH14" i="112" s="1"/>
  <c r="AD6" i="112"/>
  <c r="AH7" i="117"/>
  <c r="AH8" i="117" s="1"/>
  <c r="AH9" i="117" s="1"/>
  <c r="AH10" i="117" s="1"/>
  <c r="AH11" i="117" s="1"/>
  <c r="AH12" i="117" s="1"/>
  <c r="AH13" i="117" s="1"/>
  <c r="AH14" i="117" s="1"/>
  <c r="AD6" i="117"/>
  <c r="AD6" i="110"/>
  <c r="AH7" i="110"/>
  <c r="AH8" i="110" s="1"/>
  <c r="AH9" i="110" s="1"/>
  <c r="AH10" i="110" s="1"/>
  <c r="AH11" i="110" s="1"/>
  <c r="AH12" i="110" s="1"/>
  <c r="AH13" i="110" s="1"/>
  <c r="AH14" i="110" s="1"/>
  <c r="AD19" i="116"/>
  <c r="AS6" i="116"/>
  <c r="AS7" i="116" s="1"/>
  <c r="AS8" i="116" s="1"/>
  <c r="AS9" i="116" s="1"/>
  <c r="AS10" i="116" s="1"/>
  <c r="AS11" i="116" s="1"/>
  <c r="AS12" i="116" s="1"/>
  <c r="AS13" i="116" s="1"/>
  <c r="AS14" i="116" s="1"/>
  <c r="AO6" i="116" s="1"/>
  <c r="AO7" i="116" s="1"/>
  <c r="AO8" i="116" s="1"/>
  <c r="AO9" i="116" s="1"/>
  <c r="AO10" i="116" s="1"/>
  <c r="AO11" i="116" s="1"/>
  <c r="AO12" i="116" s="1"/>
  <c r="AO13" i="116" s="1"/>
  <c r="AO14" i="116" s="1"/>
  <c r="AK6" i="116" s="1"/>
  <c r="AK7" i="116" s="1"/>
  <c r="AK8" i="116" s="1"/>
  <c r="AK9" i="116" s="1"/>
  <c r="AK10" i="116" s="1"/>
  <c r="AK11" i="116" s="1"/>
  <c r="AK12" i="116" s="1"/>
  <c r="AK13" i="116" s="1"/>
  <c r="AK14" i="116" s="1"/>
  <c r="AG6" i="116" s="1"/>
  <c r="AG7" i="116" s="1"/>
  <c r="AG8" i="116" s="1"/>
  <c r="AG9" i="116" s="1"/>
  <c r="AG10" i="116" s="1"/>
  <c r="AG11" i="116" s="1"/>
  <c r="AG12" i="116" s="1"/>
  <c r="AG13" i="116" s="1"/>
  <c r="AG14" i="116" s="1"/>
  <c r="AC6" i="116" s="1"/>
  <c r="AC7" i="116" s="1"/>
  <c r="AC8" i="116" s="1"/>
  <c r="AC9" i="116" s="1"/>
  <c r="AC10" i="116" s="1"/>
  <c r="AC11" i="116" s="1"/>
  <c r="AC12" i="116" s="1"/>
  <c r="AC13" i="116" s="1"/>
  <c r="AC14" i="116" s="1"/>
  <c r="Y6" i="116" s="1"/>
  <c r="Y7" i="116" s="1"/>
  <c r="Y8" i="116" s="1"/>
  <c r="Y9" i="116" s="1"/>
  <c r="Y10" i="116" s="1"/>
  <c r="Y11" i="116" s="1"/>
  <c r="Y12" i="116" s="1"/>
  <c r="Y13" i="116" s="1"/>
  <c r="Y14" i="116" s="1"/>
  <c r="U6" i="116" s="1"/>
  <c r="U7" i="116" s="1"/>
  <c r="U8" i="116" s="1"/>
  <c r="U9" i="116" s="1"/>
  <c r="U10" i="116" s="1"/>
  <c r="U11" i="116" s="1"/>
  <c r="U12" i="116" s="1"/>
  <c r="U13" i="116" s="1"/>
  <c r="U14" i="116" s="1"/>
  <c r="Q6" i="116" s="1"/>
  <c r="Q7" i="116" s="1"/>
  <c r="Q8" i="116" s="1"/>
  <c r="Q9" i="116" s="1"/>
  <c r="Q10" i="116" s="1"/>
  <c r="Q11" i="116" s="1"/>
  <c r="Q12" i="116" s="1"/>
  <c r="Q13" i="116" s="1"/>
  <c r="Q14" i="116" s="1"/>
  <c r="M6" i="116" s="1"/>
  <c r="M7" i="116" s="1"/>
  <c r="M8" i="116" s="1"/>
  <c r="M9" i="116" s="1"/>
  <c r="M10" i="116" s="1"/>
  <c r="M11" i="116" s="1"/>
  <c r="M12" i="116" s="1"/>
  <c r="M13" i="116" s="1"/>
  <c r="M14" i="116" s="1"/>
  <c r="I6" i="116" s="1"/>
  <c r="I7" i="116" s="1"/>
  <c r="I8" i="116" s="1"/>
  <c r="I9" i="116" s="1"/>
  <c r="I10" i="116" s="1"/>
  <c r="I11" i="116" s="1"/>
  <c r="I12" i="116" s="1"/>
  <c r="I13" i="116" s="1"/>
  <c r="I14" i="116" s="1"/>
  <c r="AS6" i="120"/>
  <c r="AS7" i="120" s="1"/>
  <c r="AS8" i="120" s="1"/>
  <c r="AS9" i="120" s="1"/>
  <c r="AS10" i="120" s="1"/>
  <c r="AS11" i="120" s="1"/>
  <c r="AS12" i="120" s="1"/>
  <c r="AS13" i="120" s="1"/>
  <c r="AS14" i="120" s="1"/>
  <c r="AO6" i="120" s="1"/>
  <c r="AO7" i="120" s="1"/>
  <c r="AO8" i="120" s="1"/>
  <c r="AO9" i="120" s="1"/>
  <c r="AO10" i="120" s="1"/>
  <c r="AO11" i="120" s="1"/>
  <c r="AO12" i="120" s="1"/>
  <c r="AO13" i="120" s="1"/>
  <c r="AO14" i="120" s="1"/>
  <c r="AK6" i="120" s="1"/>
  <c r="AK7" i="120" s="1"/>
  <c r="AK8" i="120" s="1"/>
  <c r="AK9" i="120" s="1"/>
  <c r="AK10" i="120" s="1"/>
  <c r="AK11" i="120" s="1"/>
  <c r="AK12" i="120" s="1"/>
  <c r="AK13" i="120" s="1"/>
  <c r="AK14" i="120" s="1"/>
  <c r="AG6" i="120" s="1"/>
  <c r="AG7" i="120" s="1"/>
  <c r="AG8" i="120" s="1"/>
  <c r="AG9" i="120" s="1"/>
  <c r="AG10" i="120" s="1"/>
  <c r="AG11" i="120" s="1"/>
  <c r="AG12" i="120" s="1"/>
  <c r="AG13" i="120" s="1"/>
  <c r="AG14" i="120" s="1"/>
  <c r="AC6" i="120" s="1"/>
  <c r="AC7" i="120" s="1"/>
  <c r="AC8" i="120" s="1"/>
  <c r="AC9" i="120" s="1"/>
  <c r="AC10" i="120" s="1"/>
  <c r="AC11" i="120" s="1"/>
  <c r="AC12" i="120" s="1"/>
  <c r="AC13" i="120" s="1"/>
  <c r="AC14" i="120" s="1"/>
  <c r="Y6" i="120" s="1"/>
  <c r="Y7" i="120" s="1"/>
  <c r="Y8" i="120" s="1"/>
  <c r="Y9" i="120" s="1"/>
  <c r="Y10" i="120" s="1"/>
  <c r="Y11" i="120" s="1"/>
  <c r="Y12" i="120" s="1"/>
  <c r="Y13" i="120" s="1"/>
  <c r="Y14" i="120" s="1"/>
  <c r="U6" i="120" s="1"/>
  <c r="U7" i="120" s="1"/>
  <c r="U8" i="120" s="1"/>
  <c r="U9" i="120" s="1"/>
  <c r="U10" i="120" s="1"/>
  <c r="U11" i="120" s="1"/>
  <c r="U12" i="120" s="1"/>
  <c r="U13" i="120" s="1"/>
  <c r="U14" i="120" s="1"/>
  <c r="Q6" i="120" s="1"/>
  <c r="Q7" i="120" s="1"/>
  <c r="Q8" i="120" s="1"/>
  <c r="Q9" i="120" s="1"/>
  <c r="Q10" i="120" s="1"/>
  <c r="Q11" i="120" s="1"/>
  <c r="Q12" i="120" s="1"/>
  <c r="Q13" i="120" s="1"/>
  <c r="Q14" i="120" s="1"/>
  <c r="M6" i="120" s="1"/>
  <c r="M7" i="120" s="1"/>
  <c r="M8" i="120" s="1"/>
  <c r="M9" i="120" s="1"/>
  <c r="M10" i="120" s="1"/>
  <c r="M11" i="120" s="1"/>
  <c r="M12" i="120" s="1"/>
  <c r="M13" i="120" s="1"/>
  <c r="M14" i="120" s="1"/>
  <c r="I6" i="120" s="1"/>
  <c r="I7" i="120" s="1"/>
  <c r="I8" i="120" s="1"/>
  <c r="I9" i="120" s="1"/>
  <c r="I10" i="120" s="1"/>
  <c r="I11" i="120" s="1"/>
  <c r="I12" i="120" s="1"/>
  <c r="I13" i="120" s="1"/>
  <c r="I14" i="120" s="1"/>
  <c r="AD19" i="120"/>
  <c r="AD19" i="121"/>
  <c r="AS6" i="121"/>
  <c r="AS7" i="121" s="1"/>
  <c r="AS8" i="121" s="1"/>
  <c r="AS9" i="121" s="1"/>
  <c r="AS10" i="121" s="1"/>
  <c r="AS11" i="121" s="1"/>
  <c r="AS12" i="121" s="1"/>
  <c r="AS13" i="121" s="1"/>
  <c r="AS14" i="121" s="1"/>
  <c r="AO6" i="121" s="1"/>
  <c r="AO7" i="121" s="1"/>
  <c r="AO8" i="121" s="1"/>
  <c r="AO9" i="121" s="1"/>
  <c r="AO10" i="121" s="1"/>
  <c r="AO11" i="121" s="1"/>
  <c r="AO12" i="121" s="1"/>
  <c r="AO13" i="121" s="1"/>
  <c r="AO14" i="121" s="1"/>
  <c r="AK6" i="121" s="1"/>
  <c r="AK7" i="121" s="1"/>
  <c r="AK8" i="121" s="1"/>
  <c r="AK9" i="121" s="1"/>
  <c r="AK10" i="121" s="1"/>
  <c r="AK11" i="121" s="1"/>
  <c r="AK12" i="121" s="1"/>
  <c r="AK13" i="121" s="1"/>
  <c r="AK14" i="121" s="1"/>
  <c r="AG6" i="121" s="1"/>
  <c r="AG7" i="121" s="1"/>
  <c r="AG8" i="121" s="1"/>
  <c r="AG9" i="121" s="1"/>
  <c r="AG10" i="121" s="1"/>
  <c r="AG11" i="121" s="1"/>
  <c r="AG12" i="121" s="1"/>
  <c r="AG13" i="121" s="1"/>
  <c r="AG14" i="121" s="1"/>
  <c r="AC6" i="121" s="1"/>
  <c r="AC7" i="121" s="1"/>
  <c r="AC8" i="121" s="1"/>
  <c r="AC9" i="121" s="1"/>
  <c r="AC10" i="121" s="1"/>
  <c r="AC11" i="121" s="1"/>
  <c r="AC12" i="121" s="1"/>
  <c r="AC13" i="121" s="1"/>
  <c r="AC14" i="121" s="1"/>
  <c r="Y6" i="121" s="1"/>
  <c r="Y7" i="121" s="1"/>
  <c r="Y8" i="121" s="1"/>
  <c r="Y9" i="121" s="1"/>
  <c r="Y10" i="121" s="1"/>
  <c r="Y11" i="121" s="1"/>
  <c r="Y12" i="121" s="1"/>
  <c r="Y13" i="121" s="1"/>
  <c r="Y14" i="121" s="1"/>
  <c r="U6" i="121" s="1"/>
  <c r="U7" i="121" s="1"/>
  <c r="U8" i="121" s="1"/>
  <c r="U9" i="121" s="1"/>
  <c r="U10" i="121" s="1"/>
  <c r="U11" i="121" s="1"/>
  <c r="U12" i="121" s="1"/>
  <c r="U13" i="121" s="1"/>
  <c r="U14" i="121" s="1"/>
  <c r="Q6" i="121" s="1"/>
  <c r="Q7" i="121" s="1"/>
  <c r="Q8" i="121" s="1"/>
  <c r="Q9" i="121" s="1"/>
  <c r="Q10" i="121" s="1"/>
  <c r="Q11" i="121" s="1"/>
  <c r="Q12" i="121" s="1"/>
  <c r="Q13" i="121" s="1"/>
  <c r="Q14" i="121" s="1"/>
  <c r="M6" i="121" s="1"/>
  <c r="M7" i="121" s="1"/>
  <c r="M8" i="121" s="1"/>
  <c r="M9" i="121" s="1"/>
  <c r="M10" i="121" s="1"/>
  <c r="M11" i="121" s="1"/>
  <c r="M12" i="121" s="1"/>
  <c r="M13" i="121" s="1"/>
  <c r="M14" i="121" s="1"/>
  <c r="I6" i="121" s="1"/>
  <c r="I7" i="121" s="1"/>
  <c r="I8" i="121" s="1"/>
  <c r="I9" i="121" s="1"/>
  <c r="I10" i="121" s="1"/>
  <c r="I11" i="121" s="1"/>
  <c r="I12" i="121" s="1"/>
  <c r="I13" i="121" s="1"/>
  <c r="I14" i="121" s="1"/>
  <c r="AD19" i="119"/>
  <c r="AS6" i="119"/>
  <c r="AS7" i="119" s="1"/>
  <c r="AS8" i="119" s="1"/>
  <c r="AS9" i="119" s="1"/>
  <c r="AS10" i="119" s="1"/>
  <c r="AS11" i="119" s="1"/>
  <c r="AS12" i="119" s="1"/>
  <c r="AS13" i="119" s="1"/>
  <c r="AS14" i="119" s="1"/>
  <c r="AO6" i="119" s="1"/>
  <c r="AO7" i="119" s="1"/>
  <c r="AO8" i="119" s="1"/>
  <c r="AO9" i="119" s="1"/>
  <c r="AO10" i="119" s="1"/>
  <c r="AO11" i="119" s="1"/>
  <c r="AO12" i="119" s="1"/>
  <c r="AO13" i="119" s="1"/>
  <c r="AO14" i="119" s="1"/>
  <c r="AK6" i="119" s="1"/>
  <c r="AK7" i="119" s="1"/>
  <c r="AK8" i="119" s="1"/>
  <c r="AK9" i="119" s="1"/>
  <c r="AK10" i="119" s="1"/>
  <c r="AK11" i="119" s="1"/>
  <c r="AK12" i="119" s="1"/>
  <c r="AK13" i="119" s="1"/>
  <c r="AK14" i="119" s="1"/>
  <c r="AG6" i="119" s="1"/>
  <c r="AG7" i="119" s="1"/>
  <c r="AG8" i="119" s="1"/>
  <c r="AG9" i="119" s="1"/>
  <c r="AG10" i="119" s="1"/>
  <c r="AG11" i="119" s="1"/>
  <c r="AG12" i="119" s="1"/>
  <c r="AG13" i="119" s="1"/>
  <c r="AG14" i="119" s="1"/>
  <c r="AC6" i="119" s="1"/>
  <c r="AC7" i="119" s="1"/>
  <c r="AC8" i="119" s="1"/>
  <c r="AC9" i="119" s="1"/>
  <c r="AC10" i="119" s="1"/>
  <c r="AC11" i="119" s="1"/>
  <c r="AC12" i="119" s="1"/>
  <c r="AC13" i="119" s="1"/>
  <c r="AC14" i="119" s="1"/>
  <c r="Y6" i="119" s="1"/>
  <c r="Y7" i="119" s="1"/>
  <c r="Y8" i="119" s="1"/>
  <c r="Y9" i="119" s="1"/>
  <c r="Y10" i="119" s="1"/>
  <c r="Y11" i="119" s="1"/>
  <c r="Y12" i="119" s="1"/>
  <c r="Y13" i="119" s="1"/>
  <c r="Y14" i="119" s="1"/>
  <c r="U6" i="119" s="1"/>
  <c r="U7" i="119" s="1"/>
  <c r="U8" i="119" s="1"/>
  <c r="U9" i="119" s="1"/>
  <c r="U10" i="119" s="1"/>
  <c r="U11" i="119" s="1"/>
  <c r="U12" i="119" s="1"/>
  <c r="U13" i="119" s="1"/>
  <c r="U14" i="119" s="1"/>
  <c r="Q6" i="119" s="1"/>
  <c r="Q7" i="119" s="1"/>
  <c r="Q8" i="119" s="1"/>
  <c r="Q9" i="119" s="1"/>
  <c r="Q10" i="119" s="1"/>
  <c r="Q11" i="119" s="1"/>
  <c r="Q12" i="119" s="1"/>
  <c r="Q13" i="119" s="1"/>
  <c r="Q14" i="119" s="1"/>
  <c r="M6" i="119" s="1"/>
  <c r="M7" i="119" s="1"/>
  <c r="M8" i="119" s="1"/>
  <c r="M9" i="119" s="1"/>
  <c r="M10" i="119" s="1"/>
  <c r="M11" i="119" s="1"/>
  <c r="M12" i="119" s="1"/>
  <c r="M13" i="119" s="1"/>
  <c r="M14" i="119" s="1"/>
  <c r="I6" i="119" s="1"/>
  <c r="I7" i="119" s="1"/>
  <c r="I8" i="119" s="1"/>
  <c r="I9" i="119" s="1"/>
  <c r="I10" i="119" s="1"/>
  <c r="I11" i="119" s="1"/>
  <c r="I12" i="119" s="1"/>
  <c r="I13" i="119" s="1"/>
  <c r="I14" i="119" s="1"/>
  <c r="AD19" i="123"/>
  <c r="AS6" i="123"/>
  <c r="AS7" i="123" s="1"/>
  <c r="AS8" i="123" s="1"/>
  <c r="AS9" i="123" s="1"/>
  <c r="AS10" i="123" s="1"/>
  <c r="AS11" i="123" s="1"/>
  <c r="AS12" i="123" s="1"/>
  <c r="AS13" i="123" s="1"/>
  <c r="AS14" i="123" s="1"/>
  <c r="AO6" i="123" s="1"/>
  <c r="AO7" i="123" s="1"/>
  <c r="AO8" i="123" s="1"/>
  <c r="AO9" i="123" s="1"/>
  <c r="AO10" i="123" s="1"/>
  <c r="AO11" i="123" s="1"/>
  <c r="AO12" i="123" s="1"/>
  <c r="AO13" i="123" s="1"/>
  <c r="AO14" i="123" s="1"/>
  <c r="AK6" i="123" s="1"/>
  <c r="AK7" i="123" s="1"/>
  <c r="AK8" i="123" s="1"/>
  <c r="AK9" i="123" s="1"/>
  <c r="AK10" i="123" s="1"/>
  <c r="AK11" i="123" s="1"/>
  <c r="AK12" i="123" s="1"/>
  <c r="AK13" i="123" s="1"/>
  <c r="AK14" i="123" s="1"/>
  <c r="AG6" i="123" s="1"/>
  <c r="AG7" i="123" s="1"/>
  <c r="AG8" i="123" s="1"/>
  <c r="AG9" i="123" s="1"/>
  <c r="AG10" i="123" s="1"/>
  <c r="AG11" i="123" s="1"/>
  <c r="AG12" i="123" s="1"/>
  <c r="AG13" i="123" s="1"/>
  <c r="AG14" i="123" s="1"/>
  <c r="AC6" i="123" s="1"/>
  <c r="AC7" i="123" s="1"/>
  <c r="AC8" i="123" s="1"/>
  <c r="AC9" i="123" s="1"/>
  <c r="AC10" i="123" s="1"/>
  <c r="AC11" i="123" s="1"/>
  <c r="AC12" i="123" s="1"/>
  <c r="AC13" i="123" s="1"/>
  <c r="AC14" i="123" s="1"/>
  <c r="Y6" i="123" s="1"/>
  <c r="Y7" i="123" s="1"/>
  <c r="Y8" i="123" s="1"/>
  <c r="Y9" i="123" s="1"/>
  <c r="Y10" i="123" s="1"/>
  <c r="Y11" i="123" s="1"/>
  <c r="Y12" i="123" s="1"/>
  <c r="Y13" i="123" s="1"/>
  <c r="Y14" i="123" s="1"/>
  <c r="U6" i="123" s="1"/>
  <c r="U7" i="123" s="1"/>
  <c r="U8" i="123" s="1"/>
  <c r="U9" i="123" s="1"/>
  <c r="U10" i="123" s="1"/>
  <c r="U11" i="123" s="1"/>
  <c r="U12" i="123" s="1"/>
  <c r="U13" i="123" s="1"/>
  <c r="U14" i="123" s="1"/>
  <c r="Q6" i="123" s="1"/>
  <c r="Q7" i="123" s="1"/>
  <c r="Q8" i="123" s="1"/>
  <c r="Q9" i="123" s="1"/>
  <c r="Q10" i="123" s="1"/>
  <c r="Q11" i="123" s="1"/>
  <c r="Q12" i="123" s="1"/>
  <c r="Q13" i="123" s="1"/>
  <c r="Q14" i="123" s="1"/>
  <c r="M6" i="123" s="1"/>
  <c r="M7" i="123" s="1"/>
  <c r="M8" i="123" s="1"/>
  <c r="M9" i="123" s="1"/>
  <c r="M10" i="123" s="1"/>
  <c r="M11" i="123" s="1"/>
  <c r="M12" i="123" s="1"/>
  <c r="M13" i="123" s="1"/>
  <c r="M14" i="123" s="1"/>
  <c r="I6" i="123" s="1"/>
  <c r="I7" i="123" s="1"/>
  <c r="I8" i="123" s="1"/>
  <c r="I9" i="123" s="1"/>
  <c r="I10" i="123" s="1"/>
  <c r="I11" i="123" s="1"/>
  <c r="I12" i="123" s="1"/>
  <c r="I13" i="123" s="1"/>
  <c r="I14" i="123" s="1"/>
  <c r="AD19" i="122"/>
  <c r="AS6" i="122"/>
  <c r="AS7" i="122" s="1"/>
  <c r="AS8" i="122" s="1"/>
  <c r="AS9" i="122" s="1"/>
  <c r="AS10" i="122" s="1"/>
  <c r="AS11" i="122" s="1"/>
  <c r="AS12" i="122" s="1"/>
  <c r="AS13" i="122" s="1"/>
  <c r="AS14" i="122" s="1"/>
  <c r="AO6" i="122" s="1"/>
  <c r="AO7" i="122" s="1"/>
  <c r="AO8" i="122" s="1"/>
  <c r="AO9" i="122" s="1"/>
  <c r="AO10" i="122" s="1"/>
  <c r="AO11" i="122" s="1"/>
  <c r="AO12" i="122" s="1"/>
  <c r="AO13" i="122" s="1"/>
  <c r="AO14" i="122" s="1"/>
  <c r="AK6" i="122" s="1"/>
  <c r="AK7" i="122" s="1"/>
  <c r="AK8" i="122" s="1"/>
  <c r="AK9" i="122" s="1"/>
  <c r="AK10" i="122" s="1"/>
  <c r="AK11" i="122" s="1"/>
  <c r="AK12" i="122" s="1"/>
  <c r="AK13" i="122" s="1"/>
  <c r="AK14" i="122" s="1"/>
  <c r="AG6" i="122" s="1"/>
  <c r="AG7" i="122" s="1"/>
  <c r="AG8" i="122" s="1"/>
  <c r="AG9" i="122" s="1"/>
  <c r="AG10" i="122" s="1"/>
  <c r="AG11" i="122" s="1"/>
  <c r="AG12" i="122" s="1"/>
  <c r="AG13" i="122" s="1"/>
  <c r="AG14" i="122" s="1"/>
  <c r="AC6" i="122" s="1"/>
  <c r="AC7" i="122" s="1"/>
  <c r="AC8" i="122" s="1"/>
  <c r="AC9" i="122" s="1"/>
  <c r="AC10" i="122" s="1"/>
  <c r="AC11" i="122" s="1"/>
  <c r="AC12" i="122" s="1"/>
  <c r="AC13" i="122" s="1"/>
  <c r="AC14" i="122" s="1"/>
  <c r="Y6" i="122" s="1"/>
  <c r="Y7" i="122" s="1"/>
  <c r="Y8" i="122" s="1"/>
  <c r="Y9" i="122" s="1"/>
  <c r="Y10" i="122" s="1"/>
  <c r="Y11" i="122" s="1"/>
  <c r="Y12" i="122" s="1"/>
  <c r="Y13" i="122" s="1"/>
  <c r="Y14" i="122" s="1"/>
  <c r="U6" i="122" s="1"/>
  <c r="U7" i="122" s="1"/>
  <c r="U8" i="122" s="1"/>
  <c r="U9" i="122" s="1"/>
  <c r="U10" i="122" s="1"/>
  <c r="U11" i="122" s="1"/>
  <c r="U12" i="122" s="1"/>
  <c r="U13" i="122" s="1"/>
  <c r="U14" i="122" s="1"/>
  <c r="Q6" i="122" s="1"/>
  <c r="Q7" i="122" s="1"/>
  <c r="Q8" i="122" s="1"/>
  <c r="Q9" i="122" s="1"/>
  <c r="Q10" i="122" s="1"/>
  <c r="Q11" i="122" s="1"/>
  <c r="Q12" i="122" s="1"/>
  <c r="Q13" i="122" s="1"/>
  <c r="Q14" i="122" s="1"/>
  <c r="M6" i="122" s="1"/>
  <c r="M7" i="122" s="1"/>
  <c r="M8" i="122" s="1"/>
  <c r="M9" i="122" s="1"/>
  <c r="M10" i="122" s="1"/>
  <c r="M11" i="122" s="1"/>
  <c r="M12" i="122" s="1"/>
  <c r="M13" i="122" s="1"/>
  <c r="M14" i="122" s="1"/>
  <c r="I6" i="122" s="1"/>
  <c r="I7" i="122" s="1"/>
  <c r="I8" i="122" s="1"/>
  <c r="I9" i="122" s="1"/>
  <c r="I10" i="122" s="1"/>
  <c r="I11" i="122" s="1"/>
  <c r="I12" i="122" s="1"/>
  <c r="I13" i="122" s="1"/>
  <c r="I14" i="122" s="1"/>
  <c r="AD19" i="117"/>
  <c r="AS6" i="117"/>
  <c r="AS7" i="117" s="1"/>
  <c r="AS8" i="117" s="1"/>
  <c r="AS9" i="117" s="1"/>
  <c r="AS10" i="117" s="1"/>
  <c r="AS11" i="117" s="1"/>
  <c r="AS12" i="117" s="1"/>
  <c r="AS13" i="117" s="1"/>
  <c r="AS14" i="117" s="1"/>
  <c r="AO6" i="117" s="1"/>
  <c r="AO7" i="117" s="1"/>
  <c r="AO8" i="117" s="1"/>
  <c r="AO9" i="117" s="1"/>
  <c r="AO10" i="117" s="1"/>
  <c r="AO11" i="117" s="1"/>
  <c r="AO12" i="117" s="1"/>
  <c r="AO13" i="117" s="1"/>
  <c r="AO14" i="117" s="1"/>
  <c r="AK6" i="117" s="1"/>
  <c r="AK7" i="117" s="1"/>
  <c r="AK8" i="117" s="1"/>
  <c r="AK9" i="117" s="1"/>
  <c r="AK10" i="117" s="1"/>
  <c r="AK11" i="117" s="1"/>
  <c r="AK12" i="117" s="1"/>
  <c r="AK13" i="117" s="1"/>
  <c r="AK14" i="117" s="1"/>
  <c r="AG6" i="117" s="1"/>
  <c r="AG7" i="117" s="1"/>
  <c r="AG8" i="117" s="1"/>
  <c r="AG9" i="117" s="1"/>
  <c r="AG10" i="117" s="1"/>
  <c r="AG11" i="117" s="1"/>
  <c r="AG12" i="117" s="1"/>
  <c r="AG13" i="117" s="1"/>
  <c r="AG14" i="117" s="1"/>
  <c r="AC6" i="117" s="1"/>
  <c r="AC7" i="117" s="1"/>
  <c r="AC8" i="117" s="1"/>
  <c r="AC9" i="117" s="1"/>
  <c r="AC10" i="117" s="1"/>
  <c r="AC11" i="117" s="1"/>
  <c r="AC12" i="117" s="1"/>
  <c r="AC13" i="117" s="1"/>
  <c r="AC14" i="117" s="1"/>
  <c r="Y6" i="117" s="1"/>
  <c r="Y7" i="117" s="1"/>
  <c r="Y8" i="117" s="1"/>
  <c r="Y9" i="117" s="1"/>
  <c r="Y10" i="117" s="1"/>
  <c r="Y11" i="117" s="1"/>
  <c r="Y12" i="117" s="1"/>
  <c r="Y13" i="117" s="1"/>
  <c r="Y14" i="117" s="1"/>
  <c r="U6" i="117" s="1"/>
  <c r="U7" i="117" s="1"/>
  <c r="U8" i="117" s="1"/>
  <c r="U9" i="117" s="1"/>
  <c r="U10" i="117" s="1"/>
  <c r="U11" i="117" s="1"/>
  <c r="U12" i="117" s="1"/>
  <c r="U13" i="117" s="1"/>
  <c r="U14" i="117" s="1"/>
  <c r="Q6" i="117" s="1"/>
  <c r="Q7" i="117" s="1"/>
  <c r="Q8" i="117" s="1"/>
  <c r="Q9" i="117" s="1"/>
  <c r="Q10" i="117" s="1"/>
  <c r="Q11" i="117" s="1"/>
  <c r="Q12" i="117" s="1"/>
  <c r="Q13" i="117" s="1"/>
  <c r="Q14" i="117" s="1"/>
  <c r="M6" i="117" s="1"/>
  <c r="M7" i="117" s="1"/>
  <c r="M8" i="117" s="1"/>
  <c r="M9" i="117" s="1"/>
  <c r="M10" i="117" s="1"/>
  <c r="M11" i="117" s="1"/>
  <c r="M12" i="117" s="1"/>
  <c r="M13" i="117" s="1"/>
  <c r="M14" i="117" s="1"/>
  <c r="I6" i="117" s="1"/>
  <c r="I7" i="117" s="1"/>
  <c r="I8" i="117" s="1"/>
  <c r="I9" i="117" s="1"/>
  <c r="I10" i="117" s="1"/>
  <c r="I11" i="117" s="1"/>
  <c r="I12" i="117" s="1"/>
  <c r="I13" i="117" s="1"/>
  <c r="I14" i="117" s="1"/>
  <c r="AS6" i="118"/>
  <c r="AS7" i="118" s="1"/>
  <c r="AS8" i="118" s="1"/>
  <c r="AS9" i="118" s="1"/>
  <c r="AS10" i="118" s="1"/>
  <c r="AS11" i="118" s="1"/>
  <c r="AS12" i="118" s="1"/>
  <c r="AS13" i="118" s="1"/>
  <c r="AS14" i="118" s="1"/>
  <c r="AO6" i="118" s="1"/>
  <c r="AO7" i="118" s="1"/>
  <c r="AO8" i="118" s="1"/>
  <c r="AO9" i="118" s="1"/>
  <c r="AO10" i="118" s="1"/>
  <c r="AO11" i="118" s="1"/>
  <c r="AO12" i="118" s="1"/>
  <c r="AO13" i="118" s="1"/>
  <c r="AO14" i="118" s="1"/>
  <c r="AK6" i="118" s="1"/>
  <c r="AK7" i="118" s="1"/>
  <c r="AK8" i="118" s="1"/>
  <c r="AK9" i="118" s="1"/>
  <c r="AK10" i="118" s="1"/>
  <c r="AK11" i="118" s="1"/>
  <c r="AK12" i="118" s="1"/>
  <c r="AK13" i="118" s="1"/>
  <c r="AK14" i="118" s="1"/>
  <c r="AG6" i="118" s="1"/>
  <c r="AG7" i="118" s="1"/>
  <c r="AG8" i="118" s="1"/>
  <c r="AG9" i="118" s="1"/>
  <c r="AG10" i="118" s="1"/>
  <c r="AG11" i="118" s="1"/>
  <c r="AG12" i="118" s="1"/>
  <c r="AG13" i="118" s="1"/>
  <c r="AG14" i="118" s="1"/>
  <c r="AC6" i="118" s="1"/>
  <c r="AC7" i="118" s="1"/>
  <c r="AC8" i="118" s="1"/>
  <c r="AC9" i="118" s="1"/>
  <c r="AC10" i="118" s="1"/>
  <c r="AC11" i="118" s="1"/>
  <c r="AC12" i="118" s="1"/>
  <c r="AC13" i="118" s="1"/>
  <c r="AC14" i="118" s="1"/>
  <c r="Y6" i="118" s="1"/>
  <c r="Y7" i="118" s="1"/>
  <c r="Y8" i="118" s="1"/>
  <c r="Y9" i="118" s="1"/>
  <c r="Y10" i="118" s="1"/>
  <c r="Y11" i="118" s="1"/>
  <c r="Y12" i="118" s="1"/>
  <c r="Y13" i="118" s="1"/>
  <c r="Y14" i="118" s="1"/>
  <c r="U6" i="118" s="1"/>
  <c r="U7" i="118" s="1"/>
  <c r="U8" i="118" s="1"/>
  <c r="U9" i="118" s="1"/>
  <c r="U10" i="118" s="1"/>
  <c r="U11" i="118" s="1"/>
  <c r="U12" i="118" s="1"/>
  <c r="U13" i="118" s="1"/>
  <c r="U14" i="118" s="1"/>
  <c r="Q6" i="118" s="1"/>
  <c r="Q7" i="118" s="1"/>
  <c r="Q8" i="118" s="1"/>
  <c r="Q9" i="118" s="1"/>
  <c r="Q10" i="118" s="1"/>
  <c r="Q11" i="118" s="1"/>
  <c r="Q12" i="118" s="1"/>
  <c r="Q13" i="118" s="1"/>
  <c r="Q14" i="118" s="1"/>
  <c r="M6" i="118" s="1"/>
  <c r="M7" i="118" s="1"/>
  <c r="M8" i="118" s="1"/>
  <c r="M9" i="118" s="1"/>
  <c r="M10" i="118" s="1"/>
  <c r="M11" i="118" s="1"/>
  <c r="M12" i="118" s="1"/>
  <c r="M13" i="118" s="1"/>
  <c r="M14" i="118" s="1"/>
  <c r="I6" i="118" s="1"/>
  <c r="I7" i="118" s="1"/>
  <c r="I8" i="118" s="1"/>
  <c r="I9" i="118" s="1"/>
  <c r="I10" i="118" s="1"/>
  <c r="I11" i="118" s="1"/>
  <c r="I12" i="118" s="1"/>
  <c r="I13" i="118" s="1"/>
  <c r="I14" i="118" s="1"/>
  <c r="AD19" i="118"/>
  <c r="AH7" i="123"/>
  <c r="AH8" i="123" s="1"/>
  <c r="AH9" i="123" s="1"/>
  <c r="AH10" i="123" s="1"/>
  <c r="AH11" i="123" s="1"/>
  <c r="AH12" i="123" s="1"/>
  <c r="AH13" i="123" s="1"/>
  <c r="AH14" i="123" s="1"/>
  <c r="AD6" i="123"/>
  <c r="AJ13" i="120"/>
  <c r="AE13" i="120"/>
  <c r="AN12" i="118"/>
  <c r="AI12" i="118"/>
  <c r="AJ7" i="116"/>
  <c r="AE7" i="116"/>
  <c r="AN14" i="121"/>
  <c r="AI14" i="121"/>
  <c r="AJ14" i="119"/>
  <c r="AE14" i="119"/>
  <c r="AH7" i="119"/>
  <c r="AH8" i="119" s="1"/>
  <c r="AH9" i="119" s="1"/>
  <c r="AH10" i="119" s="1"/>
  <c r="AH11" i="119" s="1"/>
  <c r="AH12" i="119" s="1"/>
  <c r="AH13" i="119" s="1"/>
  <c r="AH14" i="119" s="1"/>
  <c r="AD6" i="119"/>
  <c r="AN11" i="118"/>
  <c r="AI11" i="118"/>
  <c r="AN8" i="117"/>
  <c r="AI8" i="117"/>
  <c r="AN10" i="116"/>
  <c r="AI10" i="116"/>
  <c r="AH6" i="122"/>
  <c r="AL7" i="122"/>
  <c r="AL8" i="122" s="1"/>
  <c r="AL9" i="122" s="1"/>
  <c r="AL10" i="122" s="1"/>
  <c r="AL11" i="122" s="1"/>
  <c r="AL12" i="122" s="1"/>
  <c r="AL13" i="122" s="1"/>
  <c r="AL14" i="122" s="1"/>
  <c r="AH7" i="120"/>
  <c r="AH8" i="120" s="1"/>
  <c r="AH9" i="120" s="1"/>
  <c r="AH10" i="120" s="1"/>
  <c r="AH11" i="120" s="1"/>
  <c r="AH12" i="120" s="1"/>
  <c r="AH13" i="120" s="1"/>
  <c r="AH14" i="120" s="1"/>
  <c r="AD6" i="120"/>
  <c r="AN9" i="117"/>
  <c r="AI9" i="117"/>
  <c r="AJ6" i="123"/>
  <c r="AE6" i="123"/>
  <c r="AJ14" i="122"/>
  <c r="AE14" i="122"/>
  <c r="AJ13" i="121"/>
  <c r="AE13" i="121"/>
  <c r="AH7" i="121"/>
  <c r="AH8" i="121" s="1"/>
  <c r="AH9" i="121" s="1"/>
  <c r="AH10" i="121" s="1"/>
  <c r="AH11" i="121" s="1"/>
  <c r="AH12" i="121" s="1"/>
  <c r="AH13" i="121" s="1"/>
  <c r="AH14" i="121" s="1"/>
  <c r="AD6" i="121"/>
  <c r="AJ14" i="118"/>
  <c r="AE14" i="118"/>
  <c r="AH6" i="118"/>
  <c r="AL7" i="118"/>
  <c r="AL8" i="118" s="1"/>
  <c r="AL9" i="118" s="1"/>
  <c r="AL10" i="118" s="1"/>
  <c r="AL11" i="118" s="1"/>
  <c r="AL12" i="118" s="1"/>
  <c r="AL13" i="118" s="1"/>
  <c r="AL14" i="118" s="1"/>
  <c r="AN7" i="117"/>
  <c r="AI7" i="117"/>
  <c r="AN9" i="116"/>
  <c r="AI9" i="116"/>
  <c r="AN6" i="122"/>
  <c r="AI6" i="122"/>
  <c r="AB13" i="122"/>
  <c r="W13" i="122"/>
  <c r="AJ14" i="120"/>
  <c r="AE14" i="120"/>
  <c r="AJ13" i="118"/>
  <c r="AE13" i="118"/>
  <c r="AN10" i="117"/>
  <c r="AI10" i="117"/>
  <c r="AJ6" i="117"/>
  <c r="AE6" i="117"/>
  <c r="AN8" i="116"/>
  <c r="AI8" i="116"/>
  <c r="AD19" i="115"/>
  <c r="AS6" i="115"/>
  <c r="AS7" i="115" s="1"/>
  <c r="AS8" i="115" s="1"/>
  <c r="AS9" i="115" s="1"/>
  <c r="AS10" i="115" s="1"/>
  <c r="AS11" i="115" s="1"/>
  <c r="AS12" i="115" s="1"/>
  <c r="AS13" i="115" s="1"/>
  <c r="AS14" i="115" s="1"/>
  <c r="AO6" i="115" s="1"/>
  <c r="AO7" i="115" s="1"/>
  <c r="AO8" i="115" s="1"/>
  <c r="AO9" i="115" s="1"/>
  <c r="AO10" i="115" s="1"/>
  <c r="AO11" i="115" s="1"/>
  <c r="AO12" i="115" s="1"/>
  <c r="AO13" i="115" s="1"/>
  <c r="AO14" i="115" s="1"/>
  <c r="AK6" i="115" s="1"/>
  <c r="AK7" i="115" s="1"/>
  <c r="AK8" i="115" s="1"/>
  <c r="AK9" i="115" s="1"/>
  <c r="AK10" i="115" s="1"/>
  <c r="AK11" i="115" s="1"/>
  <c r="AK12" i="115" s="1"/>
  <c r="AK13" i="115" s="1"/>
  <c r="AK14" i="115" s="1"/>
  <c r="AG6" i="115" s="1"/>
  <c r="AG7" i="115" s="1"/>
  <c r="AG8" i="115" s="1"/>
  <c r="AG9" i="115" s="1"/>
  <c r="AG10" i="115" s="1"/>
  <c r="AG11" i="115" s="1"/>
  <c r="AG12" i="115" s="1"/>
  <c r="AG13" i="115" s="1"/>
  <c r="AG14" i="115" s="1"/>
  <c r="AC6" i="115" s="1"/>
  <c r="AC7" i="115" s="1"/>
  <c r="AC8" i="115" s="1"/>
  <c r="AC9" i="115" s="1"/>
  <c r="AC10" i="115" s="1"/>
  <c r="AC11" i="115" s="1"/>
  <c r="AC12" i="115" s="1"/>
  <c r="AC13" i="115" s="1"/>
  <c r="AC14" i="115" s="1"/>
  <c r="Y6" i="115" s="1"/>
  <c r="Y7" i="115" s="1"/>
  <c r="Y8" i="115" s="1"/>
  <c r="Y9" i="115" s="1"/>
  <c r="Y10" i="115" s="1"/>
  <c r="Y11" i="115" s="1"/>
  <c r="Y12" i="115" s="1"/>
  <c r="Y13" i="115" s="1"/>
  <c r="Y14" i="115" s="1"/>
  <c r="U6" i="115" s="1"/>
  <c r="U7" i="115" s="1"/>
  <c r="U8" i="115" s="1"/>
  <c r="U9" i="115" s="1"/>
  <c r="U10" i="115" s="1"/>
  <c r="U11" i="115" s="1"/>
  <c r="U12" i="115" s="1"/>
  <c r="U13" i="115" s="1"/>
  <c r="U14" i="115" s="1"/>
  <c r="Q6" i="115" s="1"/>
  <c r="Q7" i="115" s="1"/>
  <c r="Q8" i="115" s="1"/>
  <c r="Q9" i="115" s="1"/>
  <c r="Q10" i="115" s="1"/>
  <c r="Q11" i="115" s="1"/>
  <c r="Q12" i="115" s="1"/>
  <c r="Q13" i="115" s="1"/>
  <c r="Q14" i="115" s="1"/>
  <c r="M6" i="115" s="1"/>
  <c r="M7" i="115" s="1"/>
  <c r="M8" i="115" s="1"/>
  <c r="M9" i="115" s="1"/>
  <c r="M10" i="115" s="1"/>
  <c r="M11" i="115" s="1"/>
  <c r="M12" i="115" s="1"/>
  <c r="M13" i="115" s="1"/>
  <c r="M14" i="115" s="1"/>
  <c r="I6" i="115" s="1"/>
  <c r="I7" i="115" s="1"/>
  <c r="I8" i="115" s="1"/>
  <c r="I9" i="115" s="1"/>
  <c r="I10" i="115" s="1"/>
  <c r="I11" i="115" s="1"/>
  <c r="I12" i="115" s="1"/>
  <c r="I13" i="115" s="1"/>
  <c r="I14" i="115" s="1"/>
  <c r="AS6" i="114"/>
  <c r="AS7" i="114" s="1"/>
  <c r="AS8" i="114" s="1"/>
  <c r="AS9" i="114" s="1"/>
  <c r="AS10" i="114" s="1"/>
  <c r="AS11" i="114" s="1"/>
  <c r="AS12" i="114" s="1"/>
  <c r="AS13" i="114" s="1"/>
  <c r="AS14" i="114" s="1"/>
  <c r="AO6" i="114" s="1"/>
  <c r="AO7" i="114" s="1"/>
  <c r="AO8" i="114" s="1"/>
  <c r="AO9" i="114" s="1"/>
  <c r="AO10" i="114" s="1"/>
  <c r="AO11" i="114" s="1"/>
  <c r="AO12" i="114" s="1"/>
  <c r="AO13" i="114" s="1"/>
  <c r="AO14" i="114" s="1"/>
  <c r="AK6" i="114" s="1"/>
  <c r="AK7" i="114" s="1"/>
  <c r="AK8" i="114" s="1"/>
  <c r="AK9" i="114" s="1"/>
  <c r="AK10" i="114" s="1"/>
  <c r="AK11" i="114" s="1"/>
  <c r="AK12" i="114" s="1"/>
  <c r="AK13" i="114" s="1"/>
  <c r="AK14" i="114" s="1"/>
  <c r="AG6" i="114" s="1"/>
  <c r="AG7" i="114" s="1"/>
  <c r="AG8" i="114" s="1"/>
  <c r="AG9" i="114" s="1"/>
  <c r="AG10" i="114" s="1"/>
  <c r="AG11" i="114" s="1"/>
  <c r="AG12" i="114" s="1"/>
  <c r="AG13" i="114" s="1"/>
  <c r="AG14" i="114" s="1"/>
  <c r="AC6" i="114" s="1"/>
  <c r="AC7" i="114" s="1"/>
  <c r="AC8" i="114" s="1"/>
  <c r="AC9" i="114" s="1"/>
  <c r="AC10" i="114" s="1"/>
  <c r="AC11" i="114" s="1"/>
  <c r="AC12" i="114" s="1"/>
  <c r="AC13" i="114" s="1"/>
  <c r="AC14" i="114" s="1"/>
  <c r="Y6" i="114" s="1"/>
  <c r="Y7" i="114" s="1"/>
  <c r="Y8" i="114" s="1"/>
  <c r="Y9" i="114" s="1"/>
  <c r="Y10" i="114" s="1"/>
  <c r="Y11" i="114" s="1"/>
  <c r="Y12" i="114" s="1"/>
  <c r="Y13" i="114" s="1"/>
  <c r="Y14" i="114" s="1"/>
  <c r="U6" i="114" s="1"/>
  <c r="U7" i="114" s="1"/>
  <c r="U8" i="114" s="1"/>
  <c r="U9" i="114" s="1"/>
  <c r="U10" i="114" s="1"/>
  <c r="U11" i="114" s="1"/>
  <c r="U12" i="114" s="1"/>
  <c r="U13" i="114" s="1"/>
  <c r="U14" i="114" s="1"/>
  <c r="Q6" i="114" s="1"/>
  <c r="Q7" i="114" s="1"/>
  <c r="Q8" i="114" s="1"/>
  <c r="Q9" i="114" s="1"/>
  <c r="Q10" i="114" s="1"/>
  <c r="Q11" i="114" s="1"/>
  <c r="Q12" i="114" s="1"/>
  <c r="Q13" i="114" s="1"/>
  <c r="Q14" i="114" s="1"/>
  <c r="M6" i="114" s="1"/>
  <c r="M7" i="114" s="1"/>
  <c r="M8" i="114" s="1"/>
  <c r="M9" i="114" s="1"/>
  <c r="M10" i="114" s="1"/>
  <c r="M11" i="114" s="1"/>
  <c r="M12" i="114" s="1"/>
  <c r="M13" i="114" s="1"/>
  <c r="M14" i="114" s="1"/>
  <c r="I6" i="114" s="1"/>
  <c r="I7" i="114" s="1"/>
  <c r="I8" i="114" s="1"/>
  <c r="I9" i="114" s="1"/>
  <c r="I10" i="114" s="1"/>
  <c r="I11" i="114" s="1"/>
  <c r="I12" i="114" s="1"/>
  <c r="I13" i="114" s="1"/>
  <c r="I14" i="114" s="1"/>
  <c r="AD19" i="114"/>
  <c r="AD19" i="112"/>
  <c r="AS6" i="112"/>
  <c r="AS7" i="112" s="1"/>
  <c r="AS8" i="112" s="1"/>
  <c r="AS9" i="112" s="1"/>
  <c r="AS10" i="112" s="1"/>
  <c r="AS11" i="112" s="1"/>
  <c r="AS12" i="112" s="1"/>
  <c r="AS13" i="112" s="1"/>
  <c r="AS14" i="112" s="1"/>
  <c r="AO6" i="112" s="1"/>
  <c r="AO7" i="112" s="1"/>
  <c r="AO8" i="112" s="1"/>
  <c r="AO9" i="112" s="1"/>
  <c r="AO10" i="112" s="1"/>
  <c r="AO11" i="112" s="1"/>
  <c r="AO12" i="112" s="1"/>
  <c r="AO13" i="112" s="1"/>
  <c r="AO14" i="112" s="1"/>
  <c r="AK6" i="112" s="1"/>
  <c r="AK7" i="112" s="1"/>
  <c r="AK8" i="112" s="1"/>
  <c r="AK9" i="112" s="1"/>
  <c r="AK10" i="112" s="1"/>
  <c r="AK11" i="112" s="1"/>
  <c r="AK12" i="112" s="1"/>
  <c r="AK13" i="112" s="1"/>
  <c r="AK14" i="112" s="1"/>
  <c r="AG6" i="112" s="1"/>
  <c r="AG7" i="112" s="1"/>
  <c r="AG8" i="112" s="1"/>
  <c r="AG9" i="112" s="1"/>
  <c r="AG10" i="112" s="1"/>
  <c r="AG11" i="112" s="1"/>
  <c r="AG12" i="112" s="1"/>
  <c r="AG13" i="112" s="1"/>
  <c r="AG14" i="112" s="1"/>
  <c r="AC6" i="112" s="1"/>
  <c r="AC7" i="112" s="1"/>
  <c r="AC8" i="112" s="1"/>
  <c r="AC9" i="112" s="1"/>
  <c r="AC10" i="112" s="1"/>
  <c r="AC11" i="112" s="1"/>
  <c r="AC12" i="112" s="1"/>
  <c r="AC13" i="112" s="1"/>
  <c r="AC14" i="112" s="1"/>
  <c r="Y6" i="112" s="1"/>
  <c r="Y7" i="112" s="1"/>
  <c r="Y8" i="112" s="1"/>
  <c r="Y9" i="112" s="1"/>
  <c r="Y10" i="112" s="1"/>
  <c r="Y11" i="112" s="1"/>
  <c r="Y12" i="112" s="1"/>
  <c r="Y13" i="112" s="1"/>
  <c r="Y14" i="112" s="1"/>
  <c r="U6" i="112" s="1"/>
  <c r="U7" i="112" s="1"/>
  <c r="U8" i="112" s="1"/>
  <c r="U9" i="112" s="1"/>
  <c r="U10" i="112" s="1"/>
  <c r="U11" i="112" s="1"/>
  <c r="U12" i="112" s="1"/>
  <c r="U13" i="112" s="1"/>
  <c r="U14" i="112" s="1"/>
  <c r="Q6" i="112" s="1"/>
  <c r="Q7" i="112" s="1"/>
  <c r="Q8" i="112" s="1"/>
  <c r="Q9" i="112" s="1"/>
  <c r="Q10" i="112" s="1"/>
  <c r="Q11" i="112" s="1"/>
  <c r="Q12" i="112" s="1"/>
  <c r="Q13" i="112" s="1"/>
  <c r="Q14" i="112" s="1"/>
  <c r="M6" i="112" s="1"/>
  <c r="M7" i="112" s="1"/>
  <c r="M8" i="112" s="1"/>
  <c r="M9" i="112" s="1"/>
  <c r="M10" i="112" s="1"/>
  <c r="M11" i="112" s="1"/>
  <c r="M12" i="112" s="1"/>
  <c r="M13" i="112" s="1"/>
  <c r="M14" i="112" s="1"/>
  <c r="I6" i="112" s="1"/>
  <c r="I7" i="112" s="1"/>
  <c r="I8" i="112" s="1"/>
  <c r="I9" i="112" s="1"/>
  <c r="I10" i="112" s="1"/>
  <c r="I11" i="112" s="1"/>
  <c r="I12" i="112" s="1"/>
  <c r="I13" i="112" s="1"/>
  <c r="I14" i="112" s="1"/>
  <c r="AD19" i="113"/>
  <c r="AS6" i="113"/>
  <c r="AS7" i="113" s="1"/>
  <c r="AS8" i="113" s="1"/>
  <c r="AS9" i="113" s="1"/>
  <c r="AS10" i="113" s="1"/>
  <c r="AS11" i="113" s="1"/>
  <c r="AS12" i="113" s="1"/>
  <c r="AS13" i="113" s="1"/>
  <c r="AS14" i="113" s="1"/>
  <c r="AO6" i="113" s="1"/>
  <c r="AO7" i="113" s="1"/>
  <c r="AO8" i="113" s="1"/>
  <c r="AO9" i="113" s="1"/>
  <c r="AO10" i="113" s="1"/>
  <c r="AO11" i="113" s="1"/>
  <c r="AO12" i="113" s="1"/>
  <c r="AO13" i="113" s="1"/>
  <c r="AO14" i="113" s="1"/>
  <c r="AK6" i="113" s="1"/>
  <c r="AK7" i="113" s="1"/>
  <c r="AK8" i="113" s="1"/>
  <c r="AK9" i="113" s="1"/>
  <c r="AK10" i="113" s="1"/>
  <c r="AK11" i="113" s="1"/>
  <c r="AK12" i="113" s="1"/>
  <c r="AK13" i="113" s="1"/>
  <c r="AK14" i="113" s="1"/>
  <c r="AG6" i="113" s="1"/>
  <c r="AG7" i="113" s="1"/>
  <c r="AG8" i="113" s="1"/>
  <c r="AG9" i="113" s="1"/>
  <c r="AG10" i="113" s="1"/>
  <c r="AG11" i="113" s="1"/>
  <c r="AG12" i="113" s="1"/>
  <c r="AG13" i="113" s="1"/>
  <c r="AG14" i="113" s="1"/>
  <c r="AC6" i="113" s="1"/>
  <c r="AC7" i="113" s="1"/>
  <c r="AC8" i="113" s="1"/>
  <c r="AC9" i="113" s="1"/>
  <c r="AC10" i="113" s="1"/>
  <c r="AC11" i="113" s="1"/>
  <c r="AC12" i="113" s="1"/>
  <c r="AC13" i="113" s="1"/>
  <c r="AC14" i="113" s="1"/>
  <c r="Y6" i="113" s="1"/>
  <c r="Y7" i="113" s="1"/>
  <c r="Y8" i="113" s="1"/>
  <c r="Y9" i="113" s="1"/>
  <c r="Y10" i="113" s="1"/>
  <c r="Y11" i="113" s="1"/>
  <c r="Y12" i="113" s="1"/>
  <c r="Y13" i="113" s="1"/>
  <c r="Y14" i="113" s="1"/>
  <c r="U6" i="113" s="1"/>
  <c r="U7" i="113" s="1"/>
  <c r="U8" i="113" s="1"/>
  <c r="U9" i="113" s="1"/>
  <c r="U10" i="113" s="1"/>
  <c r="U11" i="113" s="1"/>
  <c r="U12" i="113" s="1"/>
  <c r="U13" i="113" s="1"/>
  <c r="U14" i="113" s="1"/>
  <c r="Q6" i="113" s="1"/>
  <c r="Q7" i="113" s="1"/>
  <c r="Q8" i="113" s="1"/>
  <c r="Q9" i="113" s="1"/>
  <c r="Q10" i="113" s="1"/>
  <c r="Q11" i="113" s="1"/>
  <c r="Q12" i="113" s="1"/>
  <c r="Q13" i="113" s="1"/>
  <c r="Q14" i="113" s="1"/>
  <c r="M6" i="113" s="1"/>
  <c r="M7" i="113" s="1"/>
  <c r="M8" i="113" s="1"/>
  <c r="M9" i="113" s="1"/>
  <c r="M10" i="113" s="1"/>
  <c r="M11" i="113" s="1"/>
  <c r="M12" i="113" s="1"/>
  <c r="M13" i="113" s="1"/>
  <c r="M14" i="113" s="1"/>
  <c r="I6" i="113" s="1"/>
  <c r="I7" i="113" s="1"/>
  <c r="I8" i="113" s="1"/>
  <c r="I9" i="113" s="1"/>
  <c r="I10" i="113" s="1"/>
  <c r="I11" i="113" s="1"/>
  <c r="I12" i="113" s="1"/>
  <c r="I13" i="113" s="1"/>
  <c r="I14" i="113" s="1"/>
  <c r="AN6" i="115"/>
  <c r="AI6" i="115"/>
  <c r="AN6" i="114"/>
  <c r="AI6" i="114"/>
  <c r="AJ9" i="115"/>
  <c r="AE9" i="115"/>
  <c r="AN11" i="113"/>
  <c r="AI11" i="113"/>
  <c r="AJ7" i="115"/>
  <c r="AE7" i="115"/>
  <c r="AF7" i="113"/>
  <c r="AA7" i="113"/>
  <c r="AJ10" i="115"/>
  <c r="AE10" i="115"/>
  <c r="AN12" i="113"/>
  <c r="AI12" i="113"/>
  <c r="AE10" i="113"/>
  <c r="AJ10" i="113"/>
  <c r="AN9" i="113"/>
  <c r="AI9" i="113"/>
  <c r="AJ8" i="115"/>
  <c r="AE8" i="115"/>
  <c r="AJ13" i="114"/>
  <c r="AE13" i="114"/>
  <c r="AN8" i="113"/>
  <c r="AI8" i="113"/>
  <c r="L14" i="114"/>
  <c r="G14" i="114"/>
  <c r="H14" i="114" s="1"/>
  <c r="AE13" i="112"/>
  <c r="AJ13" i="112"/>
  <c r="AD19" i="111"/>
  <c r="AS6" i="111"/>
  <c r="AS7" i="111" s="1"/>
  <c r="AS8" i="111" s="1"/>
  <c r="AS9" i="111" s="1"/>
  <c r="AS10" i="111" s="1"/>
  <c r="AS11" i="111" s="1"/>
  <c r="AS12" i="111" s="1"/>
  <c r="AS13" i="111" s="1"/>
  <c r="AS14" i="111" s="1"/>
  <c r="AO6" i="111" s="1"/>
  <c r="AO7" i="111" s="1"/>
  <c r="AO8" i="111" s="1"/>
  <c r="AO9" i="111" s="1"/>
  <c r="AO10" i="111" s="1"/>
  <c r="AO11" i="111" s="1"/>
  <c r="AO12" i="111" s="1"/>
  <c r="AO13" i="111" s="1"/>
  <c r="AO14" i="111" s="1"/>
  <c r="AK6" i="111" s="1"/>
  <c r="AK7" i="111" s="1"/>
  <c r="AK8" i="111" s="1"/>
  <c r="AK9" i="111" s="1"/>
  <c r="AK10" i="111" s="1"/>
  <c r="AK11" i="111" s="1"/>
  <c r="AK12" i="111" s="1"/>
  <c r="AK13" i="111" s="1"/>
  <c r="AK14" i="111" s="1"/>
  <c r="AG6" i="111" s="1"/>
  <c r="AG7" i="111" s="1"/>
  <c r="AG8" i="111" s="1"/>
  <c r="AG9" i="111" s="1"/>
  <c r="AG10" i="111" s="1"/>
  <c r="AG11" i="111" s="1"/>
  <c r="AG12" i="111" s="1"/>
  <c r="AG13" i="111" s="1"/>
  <c r="AG14" i="111" s="1"/>
  <c r="AC6" i="111" s="1"/>
  <c r="AC7" i="111" s="1"/>
  <c r="AC8" i="111" s="1"/>
  <c r="AC9" i="111" s="1"/>
  <c r="AC10" i="111" s="1"/>
  <c r="AC11" i="111" s="1"/>
  <c r="AC12" i="111" s="1"/>
  <c r="AC13" i="111" s="1"/>
  <c r="AC14" i="111" s="1"/>
  <c r="Y6" i="111" s="1"/>
  <c r="Y7" i="111" s="1"/>
  <c r="Y8" i="111" s="1"/>
  <c r="Y9" i="111" s="1"/>
  <c r="Y10" i="111" s="1"/>
  <c r="Y11" i="111" s="1"/>
  <c r="Y12" i="111" s="1"/>
  <c r="Y13" i="111" s="1"/>
  <c r="Y14" i="111" s="1"/>
  <c r="U6" i="111" s="1"/>
  <c r="U7" i="111" s="1"/>
  <c r="U8" i="111" s="1"/>
  <c r="U9" i="111" s="1"/>
  <c r="U10" i="111" s="1"/>
  <c r="U11" i="111" s="1"/>
  <c r="U12" i="111" s="1"/>
  <c r="U13" i="111" s="1"/>
  <c r="U14" i="111" s="1"/>
  <c r="Q6" i="111" s="1"/>
  <c r="Q7" i="111" s="1"/>
  <c r="Q8" i="111" s="1"/>
  <c r="Q9" i="111" s="1"/>
  <c r="Q10" i="111" s="1"/>
  <c r="Q11" i="111" s="1"/>
  <c r="Q12" i="111" s="1"/>
  <c r="Q13" i="111" s="1"/>
  <c r="Q14" i="111" s="1"/>
  <c r="M6" i="111" s="1"/>
  <c r="M7" i="111" s="1"/>
  <c r="M8" i="111" s="1"/>
  <c r="M9" i="111" s="1"/>
  <c r="M10" i="111" s="1"/>
  <c r="M11" i="111" s="1"/>
  <c r="M12" i="111" s="1"/>
  <c r="M13" i="111" s="1"/>
  <c r="M14" i="111" s="1"/>
  <c r="I6" i="111" s="1"/>
  <c r="I7" i="111" s="1"/>
  <c r="I8" i="111" s="1"/>
  <c r="I9" i="111" s="1"/>
  <c r="I10" i="111" s="1"/>
  <c r="I11" i="111" s="1"/>
  <c r="I12" i="111" s="1"/>
  <c r="I13" i="111" s="1"/>
  <c r="I14" i="111" s="1"/>
  <c r="AD19" i="110"/>
  <c r="AS6" i="110"/>
  <c r="AS7" i="110" s="1"/>
  <c r="AS8" i="110" s="1"/>
  <c r="AS9" i="110" s="1"/>
  <c r="AS10" i="110" s="1"/>
  <c r="AS11" i="110" s="1"/>
  <c r="AS12" i="110" s="1"/>
  <c r="AS13" i="110" s="1"/>
  <c r="AS14" i="110" s="1"/>
  <c r="AO6" i="110" s="1"/>
  <c r="AO7" i="110" s="1"/>
  <c r="AO8" i="110" s="1"/>
  <c r="AO9" i="110" s="1"/>
  <c r="AO10" i="110" s="1"/>
  <c r="AO11" i="110" s="1"/>
  <c r="AO12" i="110" s="1"/>
  <c r="AO13" i="110" s="1"/>
  <c r="AO14" i="110" s="1"/>
  <c r="AK6" i="110" s="1"/>
  <c r="AK7" i="110" s="1"/>
  <c r="AK8" i="110" s="1"/>
  <c r="AK9" i="110" s="1"/>
  <c r="AK10" i="110" s="1"/>
  <c r="AK11" i="110" s="1"/>
  <c r="AK12" i="110" s="1"/>
  <c r="AK13" i="110" s="1"/>
  <c r="AK14" i="110" s="1"/>
  <c r="AG6" i="110" s="1"/>
  <c r="AG7" i="110" s="1"/>
  <c r="AG8" i="110" s="1"/>
  <c r="AG9" i="110" s="1"/>
  <c r="AG10" i="110" s="1"/>
  <c r="AG11" i="110" s="1"/>
  <c r="AG12" i="110" s="1"/>
  <c r="AG13" i="110" s="1"/>
  <c r="AG14" i="110" s="1"/>
  <c r="AC6" i="110" s="1"/>
  <c r="AC7" i="110" s="1"/>
  <c r="AC8" i="110" s="1"/>
  <c r="AC9" i="110" s="1"/>
  <c r="AC10" i="110" s="1"/>
  <c r="AC11" i="110" s="1"/>
  <c r="AC12" i="110" s="1"/>
  <c r="AC13" i="110" s="1"/>
  <c r="AC14" i="110" s="1"/>
  <c r="Y6" i="110" s="1"/>
  <c r="Y7" i="110" s="1"/>
  <c r="Y8" i="110" s="1"/>
  <c r="Y9" i="110" s="1"/>
  <c r="Y10" i="110" s="1"/>
  <c r="Y11" i="110" s="1"/>
  <c r="Y12" i="110" s="1"/>
  <c r="Y13" i="110" s="1"/>
  <c r="Y14" i="110" s="1"/>
  <c r="U6" i="110" s="1"/>
  <c r="U7" i="110" s="1"/>
  <c r="U8" i="110" s="1"/>
  <c r="U9" i="110" s="1"/>
  <c r="U10" i="110" s="1"/>
  <c r="U11" i="110" s="1"/>
  <c r="U12" i="110" s="1"/>
  <c r="U13" i="110" s="1"/>
  <c r="U14" i="110" s="1"/>
  <c r="Q6" i="110" s="1"/>
  <c r="Q7" i="110" s="1"/>
  <c r="Q8" i="110" s="1"/>
  <c r="Q9" i="110" s="1"/>
  <c r="Q10" i="110" s="1"/>
  <c r="Q11" i="110" s="1"/>
  <c r="Q12" i="110" s="1"/>
  <c r="Q13" i="110" s="1"/>
  <c r="Q14" i="110" s="1"/>
  <c r="M6" i="110" s="1"/>
  <c r="M7" i="110" s="1"/>
  <c r="M8" i="110" s="1"/>
  <c r="M9" i="110" s="1"/>
  <c r="M10" i="110" s="1"/>
  <c r="M11" i="110" s="1"/>
  <c r="M12" i="110" s="1"/>
  <c r="M13" i="110" s="1"/>
  <c r="M14" i="110" s="1"/>
  <c r="I6" i="110" s="1"/>
  <c r="I7" i="110" s="1"/>
  <c r="I8" i="110" s="1"/>
  <c r="I9" i="110" s="1"/>
  <c r="I10" i="110" s="1"/>
  <c r="I11" i="110" s="1"/>
  <c r="I12" i="110" s="1"/>
  <c r="I13" i="110" s="1"/>
  <c r="I14" i="110" s="1"/>
  <c r="AN12" i="110"/>
  <c r="AI12" i="110"/>
  <c r="AF9" i="111"/>
  <c r="AA9" i="111"/>
  <c r="AD6" i="111"/>
  <c r="AH7" i="111"/>
  <c r="AH8" i="111" s="1"/>
  <c r="AH9" i="111" s="1"/>
  <c r="AH10" i="111" s="1"/>
  <c r="AH11" i="111" s="1"/>
  <c r="AH12" i="111" s="1"/>
  <c r="AH13" i="111" s="1"/>
  <c r="AH14" i="111" s="1"/>
  <c r="AE7" i="110"/>
  <c r="AJ7" i="110"/>
  <c r="AN10" i="111"/>
  <c r="AI10" i="111"/>
  <c r="AF7" i="111"/>
  <c r="AA7" i="111"/>
  <c r="AJ9" i="110"/>
  <c r="AE9" i="110"/>
  <c r="AN14" i="110"/>
  <c r="AI14" i="110"/>
  <c r="AJ11" i="111"/>
  <c r="AE11" i="111"/>
  <c r="AN13" i="110"/>
  <c r="AI13" i="110"/>
  <c r="AN12" i="111"/>
  <c r="AI12" i="111"/>
  <c r="AN8" i="111"/>
  <c r="AI8" i="111"/>
  <c r="AA8" i="110"/>
  <c r="AF8" i="110"/>
  <c r="AE10" i="110"/>
  <c r="AJ10" i="110"/>
  <c r="AD19" i="109"/>
  <c r="AS6" i="109"/>
  <c r="AS7" i="109" s="1"/>
  <c r="AS8" i="109" s="1"/>
  <c r="AS9" i="109" s="1"/>
  <c r="AS10" i="109" s="1"/>
  <c r="AS11" i="109" s="1"/>
  <c r="AS12" i="109" s="1"/>
  <c r="AS13" i="109" s="1"/>
  <c r="AS14" i="109" s="1"/>
  <c r="AO6" i="109" s="1"/>
  <c r="AO7" i="109" s="1"/>
  <c r="AO8" i="109" s="1"/>
  <c r="AO9" i="109" s="1"/>
  <c r="AO10" i="109" s="1"/>
  <c r="AO11" i="109" s="1"/>
  <c r="AO12" i="109" s="1"/>
  <c r="AO13" i="109" s="1"/>
  <c r="AO14" i="109" s="1"/>
  <c r="AK6" i="109" s="1"/>
  <c r="AK7" i="109" s="1"/>
  <c r="AK8" i="109" s="1"/>
  <c r="AK9" i="109" s="1"/>
  <c r="AK10" i="109" s="1"/>
  <c r="AK11" i="109" s="1"/>
  <c r="AK12" i="109" s="1"/>
  <c r="AK13" i="109" s="1"/>
  <c r="AK14" i="109" s="1"/>
  <c r="AG6" i="109" s="1"/>
  <c r="AG7" i="109" s="1"/>
  <c r="AG8" i="109" s="1"/>
  <c r="AG9" i="109" s="1"/>
  <c r="AG10" i="109" s="1"/>
  <c r="AG11" i="109" s="1"/>
  <c r="AG12" i="109" s="1"/>
  <c r="AG13" i="109" s="1"/>
  <c r="AG14" i="109" s="1"/>
  <c r="AC6" i="109" s="1"/>
  <c r="AC7" i="109" s="1"/>
  <c r="AC8" i="109" s="1"/>
  <c r="AC9" i="109" s="1"/>
  <c r="AC10" i="109" s="1"/>
  <c r="AC11" i="109" s="1"/>
  <c r="AC12" i="109" s="1"/>
  <c r="AC13" i="109" s="1"/>
  <c r="AC14" i="109" s="1"/>
  <c r="Y6" i="109" s="1"/>
  <c r="Y7" i="109" s="1"/>
  <c r="Y8" i="109" s="1"/>
  <c r="Y9" i="109" s="1"/>
  <c r="Y10" i="109" s="1"/>
  <c r="Y11" i="109" s="1"/>
  <c r="Y12" i="109" s="1"/>
  <c r="Y13" i="109" s="1"/>
  <c r="Y14" i="109" s="1"/>
  <c r="U6" i="109" s="1"/>
  <c r="U7" i="109" s="1"/>
  <c r="U8" i="109" s="1"/>
  <c r="U9" i="109" s="1"/>
  <c r="U10" i="109" s="1"/>
  <c r="U11" i="109" s="1"/>
  <c r="U12" i="109" s="1"/>
  <c r="U13" i="109" s="1"/>
  <c r="U14" i="109" s="1"/>
  <c r="Q6" i="109" s="1"/>
  <c r="Q7" i="109" s="1"/>
  <c r="Q8" i="109" s="1"/>
  <c r="Q9" i="109" s="1"/>
  <c r="Q10" i="109" s="1"/>
  <c r="Q11" i="109" s="1"/>
  <c r="Q12" i="109" s="1"/>
  <c r="Q13" i="109" s="1"/>
  <c r="Q14" i="109" s="1"/>
  <c r="M6" i="109" s="1"/>
  <c r="M7" i="109" s="1"/>
  <c r="M8" i="109" s="1"/>
  <c r="M9" i="109" s="1"/>
  <c r="M10" i="109" s="1"/>
  <c r="M11" i="109" s="1"/>
  <c r="M12" i="109" s="1"/>
  <c r="M13" i="109" s="1"/>
  <c r="M14" i="109" s="1"/>
  <c r="I6" i="109" s="1"/>
  <c r="I7" i="109" s="1"/>
  <c r="I8" i="109" s="1"/>
  <c r="I9" i="109" s="1"/>
  <c r="I10" i="109" s="1"/>
  <c r="I11" i="109" s="1"/>
  <c r="I12" i="109" s="1"/>
  <c r="I13" i="109" s="1"/>
  <c r="I14" i="109" s="1"/>
  <c r="AJ7" i="109"/>
  <c r="AE7" i="109"/>
  <c r="AJ10" i="109"/>
  <c r="AE10" i="109"/>
  <c r="AN6" i="109"/>
  <c r="AI6" i="109"/>
  <c r="AJ8" i="109"/>
  <c r="AE8" i="109"/>
  <c r="AJ9" i="109"/>
  <c r="AE9" i="109"/>
  <c r="B13" i="1"/>
  <c r="AP6" i="1"/>
  <c r="AL6" i="1" s="1"/>
  <c r="R22" i="120"/>
  <c r="AL19" i="117"/>
  <c r="AL19" i="123"/>
  <c r="AL19" i="120"/>
  <c r="R22" i="118"/>
  <c r="R22" i="119"/>
  <c r="J22" i="123"/>
  <c r="J22" i="118"/>
  <c r="J22" i="119"/>
  <c r="AL19" i="116"/>
  <c r="J22" i="121"/>
  <c r="J22" i="117"/>
  <c r="AL19" i="119"/>
  <c r="J22" i="116"/>
  <c r="AL19" i="121"/>
  <c r="J22" i="120"/>
  <c r="J22" i="122"/>
  <c r="R22" i="116"/>
  <c r="AL19" i="118"/>
  <c r="AL19" i="114"/>
  <c r="J22" i="112"/>
  <c r="AL19" i="115"/>
  <c r="AL19" i="113"/>
  <c r="J22" i="114"/>
  <c r="J22" i="115"/>
  <c r="J22" i="113"/>
  <c r="R22" i="112"/>
  <c r="AL19" i="112"/>
  <c r="J22" i="110"/>
  <c r="AL19" i="111"/>
  <c r="J22" i="111"/>
  <c r="AL19" i="110"/>
  <c r="R22" i="110"/>
  <c r="AL19" i="109"/>
  <c r="J22" i="109"/>
  <c r="D5" i="1"/>
  <c r="B5" i="1"/>
  <c r="C5" i="1"/>
  <c r="C29" i="3"/>
  <c r="K28" i="3"/>
  <c r="C31" i="3"/>
  <c r="C26" i="3"/>
  <c r="P31" i="3"/>
  <c r="K34" i="3"/>
  <c r="C27" i="3"/>
  <c r="K27" i="3"/>
  <c r="J39" i="3"/>
  <c r="C33" i="3"/>
  <c r="K29" i="3"/>
  <c r="K39" i="3"/>
  <c r="C30" i="3"/>
  <c r="L31" i="3"/>
  <c r="K37" i="3"/>
  <c r="C24" i="3"/>
  <c r="K35" i="3"/>
  <c r="C34" i="3"/>
  <c r="K25" i="3"/>
  <c r="K33" i="3"/>
  <c r="C37" i="3"/>
  <c r="K26" i="3"/>
  <c r="C35" i="3"/>
  <c r="K31" i="3"/>
  <c r="C39" i="3"/>
  <c r="C32" i="3"/>
  <c r="K38" i="3"/>
  <c r="K30" i="3"/>
  <c r="C38" i="3"/>
  <c r="K36" i="3"/>
  <c r="C25" i="3"/>
  <c r="C36" i="3"/>
  <c r="K32" i="3"/>
  <c r="C28" i="3"/>
  <c r="Z6" i="112" l="1"/>
  <c r="AD7" i="112"/>
  <c r="AD8" i="112" s="1"/>
  <c r="AD9" i="112" s="1"/>
  <c r="AD10" i="112" s="1"/>
  <c r="AD11" i="112" s="1"/>
  <c r="AD12" i="112" s="1"/>
  <c r="AD13" i="112" s="1"/>
  <c r="AD14" i="112" s="1"/>
  <c r="V6" i="116"/>
  <c r="Z7" i="116"/>
  <c r="Z8" i="116" s="1"/>
  <c r="Z9" i="116" s="1"/>
  <c r="Z10" i="116" s="1"/>
  <c r="Z11" i="116" s="1"/>
  <c r="Z12" i="116" s="1"/>
  <c r="Z13" i="116" s="1"/>
  <c r="Z14" i="116" s="1"/>
  <c r="V6" i="113"/>
  <c r="Z7" i="113"/>
  <c r="Z8" i="113" s="1"/>
  <c r="Z9" i="113" s="1"/>
  <c r="Z10" i="113" s="1"/>
  <c r="Z11" i="113" s="1"/>
  <c r="Z12" i="113" s="1"/>
  <c r="Z13" i="113" s="1"/>
  <c r="Z14" i="113" s="1"/>
  <c r="Z6" i="110"/>
  <c r="AD7" i="110"/>
  <c r="AD8" i="110" s="1"/>
  <c r="AD9" i="110" s="1"/>
  <c r="AD10" i="110" s="1"/>
  <c r="AD11" i="110" s="1"/>
  <c r="AD12" i="110" s="1"/>
  <c r="AD13" i="110" s="1"/>
  <c r="AD14" i="110" s="1"/>
  <c r="AD7" i="117"/>
  <c r="AD8" i="117" s="1"/>
  <c r="AD9" i="117" s="1"/>
  <c r="AD10" i="117" s="1"/>
  <c r="AD11" i="117" s="1"/>
  <c r="AD12" i="117" s="1"/>
  <c r="AD13" i="117" s="1"/>
  <c r="AD14" i="117" s="1"/>
  <c r="Z6" i="117"/>
  <c r="AH7" i="109"/>
  <c r="AH8" i="109" s="1"/>
  <c r="AH9" i="109" s="1"/>
  <c r="AH10" i="109" s="1"/>
  <c r="AH11" i="109" s="1"/>
  <c r="AH12" i="109" s="1"/>
  <c r="AH13" i="109" s="1"/>
  <c r="AH14" i="109" s="1"/>
  <c r="AD6" i="109"/>
  <c r="Z7" i="115"/>
  <c r="Z8" i="115" s="1"/>
  <c r="Z9" i="115" s="1"/>
  <c r="Z10" i="115" s="1"/>
  <c r="Z11" i="115" s="1"/>
  <c r="Z12" i="115" s="1"/>
  <c r="Z13" i="115" s="1"/>
  <c r="Z14" i="115" s="1"/>
  <c r="V6" i="115"/>
  <c r="AD7" i="114"/>
  <c r="AD8" i="114" s="1"/>
  <c r="AD9" i="114" s="1"/>
  <c r="AD10" i="114" s="1"/>
  <c r="AD11" i="114" s="1"/>
  <c r="AD12" i="114" s="1"/>
  <c r="AD13" i="114" s="1"/>
  <c r="AD14" i="114" s="1"/>
  <c r="Z6" i="114"/>
  <c r="AF6" i="117"/>
  <c r="AA6" i="117"/>
  <c r="X13" i="122"/>
  <c r="S13" i="122"/>
  <c r="AJ7" i="117"/>
  <c r="AE7" i="117"/>
  <c r="AF14" i="118"/>
  <c r="AA14" i="118"/>
  <c r="AF13" i="121"/>
  <c r="AA13" i="121"/>
  <c r="AF6" i="123"/>
  <c r="AA6" i="123"/>
  <c r="AJ10" i="116"/>
  <c r="AE10" i="116"/>
  <c r="AJ11" i="118"/>
  <c r="AE11" i="118"/>
  <c r="AF14" i="119"/>
  <c r="AA14" i="119"/>
  <c r="AF7" i="116"/>
  <c r="AA7" i="116"/>
  <c r="AF13" i="120"/>
  <c r="AA13" i="120"/>
  <c r="AF13" i="118"/>
  <c r="AA13" i="118"/>
  <c r="AJ9" i="117"/>
  <c r="AE9" i="117"/>
  <c r="AJ9" i="116"/>
  <c r="AE9" i="116"/>
  <c r="AD7" i="121"/>
  <c r="AD8" i="121" s="1"/>
  <c r="AD9" i="121" s="1"/>
  <c r="AD10" i="121" s="1"/>
  <c r="AD11" i="121" s="1"/>
  <c r="AD12" i="121" s="1"/>
  <c r="AD13" i="121" s="1"/>
  <c r="AD14" i="121" s="1"/>
  <c r="Z6" i="121"/>
  <c r="AF14" i="122"/>
  <c r="AA14" i="122"/>
  <c r="AH7" i="122"/>
  <c r="AH8" i="122" s="1"/>
  <c r="AH9" i="122" s="1"/>
  <c r="AH10" i="122" s="1"/>
  <c r="AH11" i="122" s="1"/>
  <c r="AH12" i="122" s="1"/>
  <c r="AH13" i="122" s="1"/>
  <c r="AH14" i="122" s="1"/>
  <c r="AD6" i="122"/>
  <c r="AJ8" i="117"/>
  <c r="AE8" i="117"/>
  <c r="AD7" i="119"/>
  <c r="AD8" i="119" s="1"/>
  <c r="AD9" i="119" s="1"/>
  <c r="AD10" i="119" s="1"/>
  <c r="AD11" i="119" s="1"/>
  <c r="AD12" i="119" s="1"/>
  <c r="AD13" i="119" s="1"/>
  <c r="AD14" i="119" s="1"/>
  <c r="Z6" i="119"/>
  <c r="AJ14" i="121"/>
  <c r="AE14" i="121"/>
  <c r="AJ12" i="118"/>
  <c r="AE12" i="118"/>
  <c r="AD7" i="123"/>
  <c r="AD8" i="123" s="1"/>
  <c r="AD9" i="123" s="1"/>
  <c r="AD10" i="123" s="1"/>
  <c r="AD11" i="123" s="1"/>
  <c r="AD12" i="123" s="1"/>
  <c r="AD13" i="123" s="1"/>
  <c r="AD14" i="123" s="1"/>
  <c r="Z6" i="123"/>
  <c r="AJ8" i="116"/>
  <c r="AE8" i="116"/>
  <c r="AJ10" i="117"/>
  <c r="AE10" i="117"/>
  <c r="AF14" i="120"/>
  <c r="AA14" i="120"/>
  <c r="AJ6" i="122"/>
  <c r="AE6" i="122"/>
  <c r="AD6" i="118"/>
  <c r="AH7" i="118"/>
  <c r="AH8" i="118" s="1"/>
  <c r="AH9" i="118" s="1"/>
  <c r="AH10" i="118" s="1"/>
  <c r="AH11" i="118" s="1"/>
  <c r="AH12" i="118" s="1"/>
  <c r="AH13" i="118" s="1"/>
  <c r="AH14" i="118" s="1"/>
  <c r="Z6" i="120"/>
  <c r="AD7" i="120"/>
  <c r="AD8" i="120" s="1"/>
  <c r="AD9" i="120" s="1"/>
  <c r="AD10" i="120" s="1"/>
  <c r="AD11" i="120" s="1"/>
  <c r="AD12" i="120" s="1"/>
  <c r="AD13" i="120" s="1"/>
  <c r="AD14" i="120" s="1"/>
  <c r="AF8" i="115"/>
  <c r="AA8" i="115"/>
  <c r="AF10" i="113"/>
  <c r="AA10" i="113"/>
  <c r="AJ11" i="113"/>
  <c r="AE11" i="113"/>
  <c r="AJ6" i="114"/>
  <c r="AE6" i="114"/>
  <c r="AJ8" i="113"/>
  <c r="AE8" i="113"/>
  <c r="AJ9" i="113"/>
  <c r="AE9" i="113"/>
  <c r="AJ12" i="113"/>
  <c r="AE12" i="113"/>
  <c r="AB7" i="113"/>
  <c r="W7" i="113"/>
  <c r="AF13" i="112"/>
  <c r="AA13" i="112"/>
  <c r="AF13" i="114"/>
  <c r="AA13" i="114"/>
  <c r="AF9" i="115"/>
  <c r="AA9" i="115"/>
  <c r="AJ6" i="115"/>
  <c r="AE6" i="115"/>
  <c r="AF10" i="115"/>
  <c r="AA10" i="115"/>
  <c r="AF7" i="115"/>
  <c r="AA7" i="115"/>
  <c r="AB8" i="110"/>
  <c r="W8" i="110"/>
  <c r="AJ8" i="111"/>
  <c r="AE8" i="111"/>
  <c r="AJ13" i="110"/>
  <c r="AE13" i="110"/>
  <c r="AJ14" i="110"/>
  <c r="AE14" i="110"/>
  <c r="AB7" i="111"/>
  <c r="W7" i="111"/>
  <c r="AF7" i="110"/>
  <c r="AA7" i="110"/>
  <c r="W9" i="111"/>
  <c r="AB9" i="111"/>
  <c r="AF10" i="110"/>
  <c r="AA10" i="110"/>
  <c r="AJ12" i="110"/>
  <c r="AE12" i="110"/>
  <c r="AJ12" i="111"/>
  <c r="AE12" i="111"/>
  <c r="AF11" i="111"/>
  <c r="AA11" i="111"/>
  <c r="AF9" i="110"/>
  <c r="AA9" i="110"/>
  <c r="AE10" i="111"/>
  <c r="AJ10" i="111"/>
  <c r="Z6" i="111"/>
  <c r="AD7" i="111"/>
  <c r="AD8" i="111" s="1"/>
  <c r="AD9" i="111" s="1"/>
  <c r="AD10" i="111" s="1"/>
  <c r="AD11" i="111" s="1"/>
  <c r="AD12" i="111" s="1"/>
  <c r="AD13" i="111" s="1"/>
  <c r="AD14" i="111" s="1"/>
  <c r="AJ6" i="109"/>
  <c r="AE6" i="109"/>
  <c r="AF7" i="109"/>
  <c r="AA7" i="109"/>
  <c r="AF9" i="109"/>
  <c r="AA9" i="109"/>
  <c r="AF10" i="109"/>
  <c r="AA10" i="109"/>
  <c r="AF8" i="109"/>
  <c r="AA8" i="109"/>
  <c r="AP7" i="1"/>
  <c r="AP8" i="1" s="1"/>
  <c r="AP9" i="1" s="1"/>
  <c r="AP10" i="1" s="1"/>
  <c r="AP11" i="1" s="1"/>
  <c r="AP12" i="1" s="1"/>
  <c r="AP13" i="1" s="1"/>
  <c r="AP14" i="1" s="1"/>
  <c r="AL7" i="1"/>
  <c r="AL8" i="1" s="1"/>
  <c r="AL9" i="1" s="1"/>
  <c r="AL10" i="1" s="1"/>
  <c r="AL11" i="1" s="1"/>
  <c r="AL12" i="1" s="1"/>
  <c r="AL13" i="1" s="1"/>
  <c r="AL14" i="1" s="1"/>
  <c r="AH6" i="1"/>
  <c r="N19" i="1"/>
  <c r="N24" i="116"/>
  <c r="N24" i="119"/>
  <c r="AL19" i="122"/>
  <c r="N24" i="122"/>
  <c r="N24" i="117"/>
  <c r="N24" i="118"/>
  <c r="N24" i="120"/>
  <c r="N24" i="121"/>
  <c r="N24" i="123"/>
  <c r="N24" i="113"/>
  <c r="N24" i="112"/>
  <c r="N24" i="115"/>
  <c r="N24" i="114"/>
  <c r="N24" i="111"/>
  <c r="N24" i="110"/>
  <c r="N24" i="109"/>
  <c r="D7" i="1"/>
  <c r="B7" i="1"/>
  <c r="O39" i="3"/>
  <c r="J31" i="3"/>
  <c r="L37" i="3"/>
  <c r="O32" i="3"/>
  <c r="O38" i="3"/>
  <c r="L39" i="3"/>
  <c r="P34" i="3"/>
  <c r="L32" i="3"/>
  <c r="O30" i="3"/>
  <c r="J26" i="3"/>
  <c r="J36" i="3"/>
  <c r="L28" i="3"/>
  <c r="P29" i="3"/>
  <c r="O25" i="3"/>
  <c r="P30" i="3"/>
  <c r="L34" i="3"/>
  <c r="J28" i="3"/>
  <c r="O27" i="3"/>
  <c r="O34" i="3"/>
  <c r="L36" i="3"/>
  <c r="P33" i="3"/>
  <c r="O33" i="3"/>
  <c r="J32" i="3"/>
  <c r="O35" i="3"/>
  <c r="P25" i="3"/>
  <c r="J27" i="3"/>
  <c r="J35" i="3"/>
  <c r="J38" i="3"/>
  <c r="L26" i="3"/>
  <c r="L33" i="3"/>
  <c r="L27" i="3"/>
  <c r="J25" i="3"/>
  <c r="L30" i="3"/>
  <c r="L25" i="3"/>
  <c r="L29" i="3"/>
  <c r="O31" i="3"/>
  <c r="K24" i="3"/>
  <c r="J29" i="3"/>
  <c r="O26" i="3"/>
  <c r="O36" i="3"/>
  <c r="J33" i="3"/>
  <c r="L38" i="3"/>
  <c r="J34" i="3"/>
  <c r="P32" i="3"/>
  <c r="J30" i="3"/>
  <c r="J37" i="3"/>
  <c r="O37" i="3"/>
  <c r="O28" i="3"/>
  <c r="L35" i="3"/>
  <c r="P36" i="3"/>
  <c r="V6" i="114" l="1"/>
  <c r="Z7" i="114"/>
  <c r="Z8" i="114" s="1"/>
  <c r="Z9" i="114" s="1"/>
  <c r="Z10" i="114" s="1"/>
  <c r="Z11" i="114" s="1"/>
  <c r="Z12" i="114" s="1"/>
  <c r="Z13" i="114" s="1"/>
  <c r="Z14" i="114" s="1"/>
  <c r="AD7" i="109"/>
  <c r="AD8" i="109" s="1"/>
  <c r="AD9" i="109" s="1"/>
  <c r="AD10" i="109" s="1"/>
  <c r="AD11" i="109" s="1"/>
  <c r="AD12" i="109" s="1"/>
  <c r="AD13" i="109" s="1"/>
  <c r="AD14" i="109" s="1"/>
  <c r="Z6" i="109"/>
  <c r="R6" i="116"/>
  <c r="V7" i="116"/>
  <c r="V8" i="116" s="1"/>
  <c r="V9" i="116" s="1"/>
  <c r="V10" i="116" s="1"/>
  <c r="V11" i="116" s="1"/>
  <c r="V12" i="116" s="1"/>
  <c r="V13" i="116" s="1"/>
  <c r="V14" i="116" s="1"/>
  <c r="Z7" i="110"/>
  <c r="Z8" i="110" s="1"/>
  <c r="Z9" i="110" s="1"/>
  <c r="Z10" i="110" s="1"/>
  <c r="Z11" i="110" s="1"/>
  <c r="Z12" i="110" s="1"/>
  <c r="Z13" i="110" s="1"/>
  <c r="Z14" i="110" s="1"/>
  <c r="V6" i="110"/>
  <c r="V7" i="115"/>
  <c r="V8" i="115" s="1"/>
  <c r="V9" i="115" s="1"/>
  <c r="V10" i="115" s="1"/>
  <c r="V11" i="115" s="1"/>
  <c r="V12" i="115" s="1"/>
  <c r="V13" i="115" s="1"/>
  <c r="V14" i="115" s="1"/>
  <c r="R6" i="115"/>
  <c r="Z7" i="117"/>
  <c r="Z8" i="117" s="1"/>
  <c r="Z9" i="117" s="1"/>
  <c r="Z10" i="117" s="1"/>
  <c r="Z11" i="117" s="1"/>
  <c r="Z12" i="117" s="1"/>
  <c r="Z13" i="117" s="1"/>
  <c r="Z14" i="117" s="1"/>
  <c r="V6" i="117"/>
  <c r="R6" i="113"/>
  <c r="V7" i="113"/>
  <c r="V8" i="113" s="1"/>
  <c r="V9" i="113" s="1"/>
  <c r="V10" i="113" s="1"/>
  <c r="V11" i="113" s="1"/>
  <c r="V12" i="113" s="1"/>
  <c r="V13" i="113" s="1"/>
  <c r="V14" i="113" s="1"/>
  <c r="V6" i="112"/>
  <c r="Z7" i="112"/>
  <c r="Z8" i="112" s="1"/>
  <c r="Z9" i="112" s="1"/>
  <c r="Z10" i="112" s="1"/>
  <c r="Z11" i="112" s="1"/>
  <c r="Z12" i="112" s="1"/>
  <c r="Z13" i="112" s="1"/>
  <c r="Z14" i="112" s="1"/>
  <c r="V6" i="120"/>
  <c r="Z7" i="120"/>
  <c r="Z8" i="120" s="1"/>
  <c r="Z9" i="120" s="1"/>
  <c r="Z10" i="120" s="1"/>
  <c r="Z11" i="120" s="1"/>
  <c r="Z12" i="120" s="1"/>
  <c r="Z13" i="120" s="1"/>
  <c r="Z14" i="120" s="1"/>
  <c r="AB14" i="120"/>
  <c r="W14" i="120"/>
  <c r="AD7" i="122"/>
  <c r="AD8" i="122" s="1"/>
  <c r="AD9" i="122" s="1"/>
  <c r="AD10" i="122" s="1"/>
  <c r="AD11" i="122" s="1"/>
  <c r="AD12" i="122" s="1"/>
  <c r="AD13" i="122" s="1"/>
  <c r="AD14" i="122" s="1"/>
  <c r="Z6" i="122"/>
  <c r="W14" i="119"/>
  <c r="AB14" i="119"/>
  <c r="AF7" i="117"/>
  <c r="AA7" i="117"/>
  <c r="AF8" i="116"/>
  <c r="AA8" i="116"/>
  <c r="Z7" i="119"/>
  <c r="Z8" i="119" s="1"/>
  <c r="Z9" i="119" s="1"/>
  <c r="Z10" i="119" s="1"/>
  <c r="Z11" i="119" s="1"/>
  <c r="Z12" i="119" s="1"/>
  <c r="Z13" i="119" s="1"/>
  <c r="Z14" i="119" s="1"/>
  <c r="V6" i="119"/>
  <c r="AF9" i="117"/>
  <c r="AA9" i="117"/>
  <c r="Z6" i="118"/>
  <c r="AD7" i="118"/>
  <c r="AD8" i="118" s="1"/>
  <c r="AD9" i="118" s="1"/>
  <c r="AD10" i="118" s="1"/>
  <c r="AD11" i="118" s="1"/>
  <c r="AD12" i="118" s="1"/>
  <c r="AD13" i="118" s="1"/>
  <c r="AD14" i="118" s="1"/>
  <c r="AB6" i="117"/>
  <c r="W6" i="117"/>
  <c r="T13" i="122"/>
  <c r="O13" i="122"/>
  <c r="AF12" i="118"/>
  <c r="AA12" i="118"/>
  <c r="Z7" i="121"/>
  <c r="Z8" i="121" s="1"/>
  <c r="Z9" i="121" s="1"/>
  <c r="Z10" i="121" s="1"/>
  <c r="Z11" i="121" s="1"/>
  <c r="Z12" i="121" s="1"/>
  <c r="Z13" i="121" s="1"/>
  <c r="Z14" i="121" s="1"/>
  <c r="V6" i="121"/>
  <c r="AB13" i="120"/>
  <c r="W13" i="120"/>
  <c r="AF10" i="116"/>
  <c r="AA10" i="116"/>
  <c r="AB13" i="121"/>
  <c r="W13" i="121"/>
  <c r="AF6" i="122"/>
  <c r="AA6" i="122"/>
  <c r="AF10" i="117"/>
  <c r="AA10" i="117"/>
  <c r="Z7" i="123"/>
  <c r="Z8" i="123" s="1"/>
  <c r="Z9" i="123" s="1"/>
  <c r="Z10" i="123" s="1"/>
  <c r="Z11" i="123" s="1"/>
  <c r="Z12" i="123" s="1"/>
  <c r="Z13" i="123" s="1"/>
  <c r="Z14" i="123" s="1"/>
  <c r="V6" i="123"/>
  <c r="AF14" i="121"/>
  <c r="AA14" i="121"/>
  <c r="AF8" i="117"/>
  <c r="AA8" i="117"/>
  <c r="AB14" i="122"/>
  <c r="W14" i="122"/>
  <c r="AF9" i="116"/>
  <c r="AA9" i="116"/>
  <c r="AB13" i="118"/>
  <c r="W13" i="118"/>
  <c r="AB7" i="116"/>
  <c r="W7" i="116"/>
  <c r="AF11" i="118"/>
  <c r="AA11" i="118"/>
  <c r="AB6" i="123"/>
  <c r="W6" i="123"/>
  <c r="AB14" i="118"/>
  <c r="W14" i="118"/>
  <c r="AB7" i="115"/>
  <c r="W7" i="115"/>
  <c r="AF6" i="115"/>
  <c r="AA6" i="115"/>
  <c r="AB13" i="114"/>
  <c r="W13" i="114"/>
  <c r="X7" i="113"/>
  <c r="S7" i="113"/>
  <c r="AF9" i="113"/>
  <c r="AA9" i="113"/>
  <c r="AF6" i="114"/>
  <c r="AA6" i="114"/>
  <c r="AB10" i="113"/>
  <c r="W10" i="113"/>
  <c r="AB10" i="115"/>
  <c r="W10" i="115"/>
  <c r="AB9" i="115"/>
  <c r="W9" i="115"/>
  <c r="W13" i="112"/>
  <c r="AB13" i="112"/>
  <c r="AF12" i="113"/>
  <c r="AA12" i="113"/>
  <c r="AF8" i="113"/>
  <c r="AA8" i="113"/>
  <c r="AA11" i="113"/>
  <c r="AF11" i="113"/>
  <c r="AB8" i="115"/>
  <c r="W8" i="115"/>
  <c r="AF12" i="111"/>
  <c r="AA12" i="111"/>
  <c r="AB9" i="110"/>
  <c r="W9" i="110"/>
  <c r="W7" i="110"/>
  <c r="AB7" i="110"/>
  <c r="AA8" i="111"/>
  <c r="AF8" i="111"/>
  <c r="AB11" i="111"/>
  <c r="W11" i="111"/>
  <c r="AF12" i="110"/>
  <c r="AA12" i="110"/>
  <c r="S7" i="111"/>
  <c r="X7" i="111"/>
  <c r="AF13" i="110"/>
  <c r="AA13" i="110"/>
  <c r="X8" i="110"/>
  <c r="S8" i="110"/>
  <c r="W10" i="110"/>
  <c r="AB10" i="110"/>
  <c r="AF14" i="110"/>
  <c r="AA14" i="110"/>
  <c r="Z7" i="111"/>
  <c r="Z8" i="111" s="1"/>
  <c r="Z9" i="111" s="1"/>
  <c r="Z10" i="111" s="1"/>
  <c r="Z11" i="111" s="1"/>
  <c r="Z12" i="111" s="1"/>
  <c r="Z13" i="111" s="1"/>
  <c r="Z14" i="111" s="1"/>
  <c r="V6" i="111"/>
  <c r="AA10" i="111"/>
  <c r="AF10" i="111"/>
  <c r="S9" i="111"/>
  <c r="X9" i="111"/>
  <c r="AB8" i="109"/>
  <c r="W8" i="109"/>
  <c r="AB9" i="109"/>
  <c r="W9" i="109"/>
  <c r="AF6" i="109"/>
  <c r="AA6" i="109"/>
  <c r="AB10" i="109"/>
  <c r="W10" i="109"/>
  <c r="AB7" i="109"/>
  <c r="W7" i="109"/>
  <c r="V19" i="1"/>
  <c r="AD6" i="1"/>
  <c r="AH7" i="1"/>
  <c r="AH8" i="1" s="1"/>
  <c r="AH9" i="1" s="1"/>
  <c r="AH10" i="1" s="1"/>
  <c r="AH11" i="1" s="1"/>
  <c r="AH12" i="1" s="1"/>
  <c r="AH13" i="1" s="1"/>
  <c r="AH14" i="1" s="1"/>
  <c r="F19" i="1"/>
  <c r="C11" i="1"/>
  <c r="N27" i="123"/>
  <c r="N27" i="117"/>
  <c r="N27" i="118"/>
  <c r="N27" i="121"/>
  <c r="N27" i="122"/>
  <c r="N27" i="120"/>
  <c r="N27" i="119"/>
  <c r="N27" i="116"/>
  <c r="N27" i="114"/>
  <c r="N27" i="115"/>
  <c r="N27" i="112"/>
  <c r="N27" i="113"/>
  <c r="N27" i="110"/>
  <c r="N27" i="111"/>
  <c r="N27" i="109"/>
  <c r="C13" i="1"/>
  <c r="R22" i="1"/>
  <c r="J22" i="1"/>
  <c r="O29" i="3"/>
  <c r="P39" i="3"/>
  <c r="M28" i="3"/>
  <c r="M33" i="3"/>
  <c r="M39" i="3"/>
  <c r="F5" i="3"/>
  <c r="J24" i="3"/>
  <c r="M35" i="3"/>
  <c r="M31" i="3"/>
  <c r="N34" i="3"/>
  <c r="P26" i="3"/>
  <c r="L24" i="3"/>
  <c r="M26" i="3"/>
  <c r="N35" i="3"/>
  <c r="Q25" i="3"/>
  <c r="N31" i="3"/>
  <c r="M34" i="3"/>
  <c r="Q33" i="3"/>
  <c r="O24" i="3"/>
  <c r="Q30" i="3"/>
  <c r="Q31" i="3"/>
  <c r="M36" i="3"/>
  <c r="P24" i="3"/>
  <c r="M27" i="3"/>
  <c r="Q34" i="3"/>
  <c r="P38" i="3"/>
  <c r="M30" i="3"/>
  <c r="P27" i="3"/>
  <c r="M38" i="3"/>
  <c r="Q32" i="3"/>
  <c r="M32" i="3"/>
  <c r="P28" i="3"/>
  <c r="Q36" i="3"/>
  <c r="P35" i="3"/>
  <c r="M29" i="3"/>
  <c r="P37" i="3"/>
  <c r="M25" i="3"/>
  <c r="M37" i="3"/>
  <c r="R7" i="116" l="1"/>
  <c r="R8" i="116" s="1"/>
  <c r="R9" i="116" s="1"/>
  <c r="R10" i="116" s="1"/>
  <c r="R11" i="116" s="1"/>
  <c r="R12" i="116" s="1"/>
  <c r="R13" i="116" s="1"/>
  <c r="R14" i="116" s="1"/>
  <c r="N6" i="116"/>
  <c r="V7" i="114"/>
  <c r="V8" i="114" s="1"/>
  <c r="V9" i="114" s="1"/>
  <c r="V10" i="114" s="1"/>
  <c r="V11" i="114" s="1"/>
  <c r="V12" i="114" s="1"/>
  <c r="V13" i="114" s="1"/>
  <c r="V14" i="114" s="1"/>
  <c r="R6" i="114"/>
  <c r="V7" i="117"/>
  <c r="V8" i="117" s="1"/>
  <c r="V9" i="117" s="1"/>
  <c r="V10" i="117" s="1"/>
  <c r="V11" i="117" s="1"/>
  <c r="V12" i="117" s="1"/>
  <c r="V13" i="117" s="1"/>
  <c r="V14" i="117" s="1"/>
  <c r="R6" i="117"/>
  <c r="V7" i="110"/>
  <c r="V8" i="110" s="1"/>
  <c r="V9" i="110" s="1"/>
  <c r="V10" i="110" s="1"/>
  <c r="V11" i="110" s="1"/>
  <c r="V12" i="110" s="1"/>
  <c r="V13" i="110" s="1"/>
  <c r="V14" i="110" s="1"/>
  <c r="R6" i="110"/>
  <c r="Z7" i="109"/>
  <c r="Z8" i="109" s="1"/>
  <c r="Z9" i="109" s="1"/>
  <c r="Z10" i="109" s="1"/>
  <c r="Z11" i="109" s="1"/>
  <c r="Z12" i="109" s="1"/>
  <c r="Z13" i="109" s="1"/>
  <c r="Z14" i="109" s="1"/>
  <c r="V6" i="109"/>
  <c r="V7" i="112"/>
  <c r="V8" i="112" s="1"/>
  <c r="V9" i="112" s="1"/>
  <c r="V10" i="112" s="1"/>
  <c r="V11" i="112" s="1"/>
  <c r="V12" i="112" s="1"/>
  <c r="V13" i="112" s="1"/>
  <c r="V14" i="112" s="1"/>
  <c r="R6" i="112"/>
  <c r="R7" i="115"/>
  <c r="R8" i="115" s="1"/>
  <c r="R9" i="115" s="1"/>
  <c r="R10" i="115" s="1"/>
  <c r="R11" i="115" s="1"/>
  <c r="R12" i="115" s="1"/>
  <c r="R13" i="115" s="1"/>
  <c r="R14" i="115" s="1"/>
  <c r="N6" i="115"/>
  <c r="R7" i="113"/>
  <c r="R8" i="113" s="1"/>
  <c r="R9" i="113" s="1"/>
  <c r="R10" i="113" s="1"/>
  <c r="R11" i="113" s="1"/>
  <c r="R12" i="113" s="1"/>
  <c r="R13" i="113" s="1"/>
  <c r="R14" i="113" s="1"/>
  <c r="N6" i="113"/>
  <c r="X14" i="118"/>
  <c r="S14" i="118"/>
  <c r="X13" i="121"/>
  <c r="S13" i="121"/>
  <c r="AB11" i="118"/>
  <c r="W11" i="118"/>
  <c r="X14" i="122"/>
  <c r="S14" i="122"/>
  <c r="AB10" i="117"/>
  <c r="W10" i="117"/>
  <c r="X13" i="120"/>
  <c r="S13" i="120"/>
  <c r="X6" i="117"/>
  <c r="S6" i="117"/>
  <c r="AB8" i="116"/>
  <c r="W8" i="116"/>
  <c r="X14" i="120"/>
  <c r="S14" i="120"/>
  <c r="S14" i="119"/>
  <c r="X14" i="119"/>
  <c r="X6" i="123"/>
  <c r="S6" i="123"/>
  <c r="X7" i="116"/>
  <c r="S7" i="116"/>
  <c r="AB9" i="116"/>
  <c r="W9" i="116"/>
  <c r="AB8" i="117"/>
  <c r="W8" i="117"/>
  <c r="V7" i="123"/>
  <c r="V8" i="123" s="1"/>
  <c r="V9" i="123" s="1"/>
  <c r="V10" i="123" s="1"/>
  <c r="V11" i="123" s="1"/>
  <c r="V12" i="123" s="1"/>
  <c r="V13" i="123" s="1"/>
  <c r="V14" i="123" s="1"/>
  <c r="R6" i="123"/>
  <c r="AB6" i="122"/>
  <c r="W6" i="122"/>
  <c r="AB10" i="116"/>
  <c r="W10" i="116"/>
  <c r="V7" i="121"/>
  <c r="V8" i="121" s="1"/>
  <c r="V9" i="121" s="1"/>
  <c r="V10" i="121" s="1"/>
  <c r="V11" i="121" s="1"/>
  <c r="V12" i="121" s="1"/>
  <c r="V13" i="121" s="1"/>
  <c r="V14" i="121" s="1"/>
  <c r="R6" i="121"/>
  <c r="P13" i="122"/>
  <c r="K13" i="122"/>
  <c r="V7" i="119"/>
  <c r="V8" i="119" s="1"/>
  <c r="V9" i="119" s="1"/>
  <c r="V10" i="119" s="1"/>
  <c r="V11" i="119" s="1"/>
  <c r="V12" i="119" s="1"/>
  <c r="V13" i="119" s="1"/>
  <c r="V14" i="119" s="1"/>
  <c r="R6" i="119"/>
  <c r="AB7" i="117"/>
  <c r="W7" i="117"/>
  <c r="Z7" i="122"/>
  <c r="Z8" i="122" s="1"/>
  <c r="Z9" i="122" s="1"/>
  <c r="Z10" i="122" s="1"/>
  <c r="Z11" i="122" s="1"/>
  <c r="Z12" i="122" s="1"/>
  <c r="Z13" i="122" s="1"/>
  <c r="Z14" i="122" s="1"/>
  <c r="V6" i="122"/>
  <c r="X13" i="118"/>
  <c r="S13" i="118"/>
  <c r="AB14" i="121"/>
  <c r="W14" i="121"/>
  <c r="AB12" i="118"/>
  <c r="W12" i="118"/>
  <c r="AB9" i="117"/>
  <c r="W9" i="117"/>
  <c r="Z7" i="118"/>
  <c r="Z8" i="118" s="1"/>
  <c r="Z9" i="118" s="1"/>
  <c r="Z10" i="118" s="1"/>
  <c r="Z11" i="118" s="1"/>
  <c r="Z12" i="118" s="1"/>
  <c r="Z13" i="118" s="1"/>
  <c r="Z14" i="118" s="1"/>
  <c r="V6" i="118"/>
  <c r="V7" i="120"/>
  <c r="V8" i="120" s="1"/>
  <c r="V9" i="120" s="1"/>
  <c r="V10" i="120" s="1"/>
  <c r="V11" i="120" s="1"/>
  <c r="V12" i="120" s="1"/>
  <c r="V13" i="120" s="1"/>
  <c r="V14" i="120" s="1"/>
  <c r="R6" i="120"/>
  <c r="X8" i="115"/>
  <c r="S8" i="115"/>
  <c r="AB6" i="114"/>
  <c r="W6" i="114"/>
  <c r="T7" i="113"/>
  <c r="O7" i="113"/>
  <c r="X13" i="112"/>
  <c r="S13" i="112"/>
  <c r="AB8" i="113"/>
  <c r="W8" i="113"/>
  <c r="X10" i="115"/>
  <c r="S10" i="115"/>
  <c r="AB6" i="115"/>
  <c r="W6" i="115"/>
  <c r="AB12" i="113"/>
  <c r="W12" i="113"/>
  <c r="X9" i="115"/>
  <c r="S9" i="115"/>
  <c r="X10" i="113"/>
  <c r="S10" i="113"/>
  <c r="AB9" i="113"/>
  <c r="W9" i="113"/>
  <c r="X13" i="114"/>
  <c r="S13" i="114"/>
  <c r="X7" i="115"/>
  <c r="S7" i="115"/>
  <c r="AB11" i="113"/>
  <c r="W11" i="113"/>
  <c r="V7" i="111"/>
  <c r="V8" i="111" s="1"/>
  <c r="V9" i="111" s="1"/>
  <c r="V10" i="111" s="1"/>
  <c r="V11" i="111" s="1"/>
  <c r="V12" i="111" s="1"/>
  <c r="V13" i="111" s="1"/>
  <c r="V14" i="111" s="1"/>
  <c r="R6" i="111"/>
  <c r="AB13" i="110"/>
  <c r="W13" i="110"/>
  <c r="AB12" i="110"/>
  <c r="W12" i="110"/>
  <c r="AB14" i="110"/>
  <c r="W14" i="110"/>
  <c r="O8" i="110"/>
  <c r="T8" i="110"/>
  <c r="X11" i="111"/>
  <c r="S11" i="111"/>
  <c r="AB12" i="111"/>
  <c r="W12" i="111"/>
  <c r="X9" i="110"/>
  <c r="S9" i="110"/>
  <c r="T9" i="111"/>
  <c r="O9" i="111"/>
  <c r="S10" i="110"/>
  <c r="X10" i="110"/>
  <c r="AB8" i="111"/>
  <c r="W8" i="111"/>
  <c r="AB10" i="111"/>
  <c r="W10" i="111"/>
  <c r="T7" i="111"/>
  <c r="O7" i="111"/>
  <c r="X7" i="110"/>
  <c r="S7" i="110"/>
  <c r="X7" i="109"/>
  <c r="S7" i="109"/>
  <c r="AB6" i="109"/>
  <c r="W6" i="109"/>
  <c r="X8" i="109"/>
  <c r="S8" i="109"/>
  <c r="X10" i="109"/>
  <c r="S10" i="109"/>
  <c r="X9" i="109"/>
  <c r="S9" i="109"/>
  <c r="Z6" i="1"/>
  <c r="AD7" i="1"/>
  <c r="AD8" i="1" s="1"/>
  <c r="AD9" i="1" s="1"/>
  <c r="AD10" i="1" s="1"/>
  <c r="AD11" i="1" s="1"/>
  <c r="AD12" i="1" s="1"/>
  <c r="AD13" i="1" s="1"/>
  <c r="AD14" i="1" s="1"/>
  <c r="AS6" i="1"/>
  <c r="AD19" i="1"/>
  <c r="N24" i="1"/>
  <c r="Q38" i="3"/>
  <c r="R31" i="3"/>
  <c r="Q35" i="3"/>
  <c r="Q37" i="3"/>
  <c r="Q28" i="3"/>
  <c r="J5" i="3"/>
  <c r="N32" i="3"/>
  <c r="R34" i="3"/>
  <c r="M24" i="3"/>
  <c r="N38" i="3"/>
  <c r="D7" i="3"/>
  <c r="N25" i="3"/>
  <c r="N36" i="3"/>
  <c r="N26" i="3"/>
  <c r="S31" i="3"/>
  <c r="Q24" i="3"/>
  <c r="N37" i="3"/>
  <c r="N30" i="3"/>
  <c r="B5" i="3"/>
  <c r="N39" i="3"/>
  <c r="N33" i="3"/>
  <c r="Q27" i="3"/>
  <c r="N28" i="3"/>
  <c r="T31" i="3"/>
  <c r="Q26" i="3"/>
  <c r="Q29" i="3"/>
  <c r="T34" i="3"/>
  <c r="N29" i="3"/>
  <c r="H7" i="3"/>
  <c r="N27" i="3"/>
  <c r="Q39" i="3"/>
  <c r="N7" i="113" l="1"/>
  <c r="N8" i="113" s="1"/>
  <c r="N9" i="113" s="1"/>
  <c r="N10" i="113" s="1"/>
  <c r="N11" i="113" s="1"/>
  <c r="N12" i="113" s="1"/>
  <c r="N13" i="113" s="1"/>
  <c r="N14" i="113" s="1"/>
  <c r="J6" i="113"/>
  <c r="R7" i="112"/>
  <c r="R8" i="112" s="1"/>
  <c r="R9" i="112" s="1"/>
  <c r="R10" i="112" s="1"/>
  <c r="R11" i="112" s="1"/>
  <c r="R12" i="112" s="1"/>
  <c r="R13" i="112" s="1"/>
  <c r="R14" i="112" s="1"/>
  <c r="N6" i="112"/>
  <c r="N6" i="110"/>
  <c r="R7" i="110"/>
  <c r="R8" i="110" s="1"/>
  <c r="R9" i="110" s="1"/>
  <c r="R10" i="110" s="1"/>
  <c r="R11" i="110" s="1"/>
  <c r="R12" i="110" s="1"/>
  <c r="R13" i="110" s="1"/>
  <c r="R14" i="110" s="1"/>
  <c r="N6" i="114"/>
  <c r="R7" i="114"/>
  <c r="R8" i="114" s="1"/>
  <c r="R9" i="114" s="1"/>
  <c r="R10" i="114" s="1"/>
  <c r="R11" i="114" s="1"/>
  <c r="R12" i="114" s="1"/>
  <c r="R13" i="114" s="1"/>
  <c r="R14" i="114" s="1"/>
  <c r="N7" i="115"/>
  <c r="N8" i="115" s="1"/>
  <c r="N9" i="115" s="1"/>
  <c r="N10" i="115" s="1"/>
  <c r="N11" i="115" s="1"/>
  <c r="N12" i="115" s="1"/>
  <c r="N13" i="115" s="1"/>
  <c r="N14" i="115" s="1"/>
  <c r="J6" i="115"/>
  <c r="V7" i="109"/>
  <c r="V8" i="109" s="1"/>
  <c r="V9" i="109" s="1"/>
  <c r="V10" i="109" s="1"/>
  <c r="V11" i="109" s="1"/>
  <c r="V12" i="109" s="1"/>
  <c r="V13" i="109" s="1"/>
  <c r="V14" i="109" s="1"/>
  <c r="R6" i="109"/>
  <c r="R7" i="117"/>
  <c r="R8" i="117" s="1"/>
  <c r="R9" i="117" s="1"/>
  <c r="R10" i="117" s="1"/>
  <c r="R11" i="117" s="1"/>
  <c r="R12" i="117" s="1"/>
  <c r="R13" i="117" s="1"/>
  <c r="R14" i="117" s="1"/>
  <c r="N6" i="117"/>
  <c r="N7" i="116"/>
  <c r="N8" i="116" s="1"/>
  <c r="N9" i="116" s="1"/>
  <c r="N10" i="116" s="1"/>
  <c r="N11" i="116" s="1"/>
  <c r="N12" i="116" s="1"/>
  <c r="N13" i="116" s="1"/>
  <c r="N14" i="116" s="1"/>
  <c r="J6" i="116"/>
  <c r="O14" i="119"/>
  <c r="T14" i="119"/>
  <c r="X8" i="116"/>
  <c r="S8" i="116"/>
  <c r="T13" i="120"/>
  <c r="O13" i="120"/>
  <c r="T14" i="122"/>
  <c r="O14" i="122"/>
  <c r="T13" i="121"/>
  <c r="O13" i="121"/>
  <c r="R7" i="120"/>
  <c r="R8" i="120" s="1"/>
  <c r="R9" i="120" s="1"/>
  <c r="R10" i="120" s="1"/>
  <c r="R11" i="120" s="1"/>
  <c r="R12" i="120" s="1"/>
  <c r="R13" i="120" s="1"/>
  <c r="R14" i="120" s="1"/>
  <c r="N6" i="120"/>
  <c r="X9" i="117"/>
  <c r="S9" i="117"/>
  <c r="X14" i="121"/>
  <c r="S14" i="121"/>
  <c r="R6" i="122"/>
  <c r="V7" i="122"/>
  <c r="V8" i="122" s="1"/>
  <c r="V9" i="122" s="1"/>
  <c r="V10" i="122" s="1"/>
  <c r="V11" i="122" s="1"/>
  <c r="V12" i="122" s="1"/>
  <c r="V13" i="122" s="1"/>
  <c r="V14" i="122" s="1"/>
  <c r="R7" i="119"/>
  <c r="R8" i="119" s="1"/>
  <c r="R9" i="119" s="1"/>
  <c r="R10" i="119" s="1"/>
  <c r="R11" i="119" s="1"/>
  <c r="R12" i="119" s="1"/>
  <c r="R13" i="119" s="1"/>
  <c r="R14" i="119" s="1"/>
  <c r="N6" i="119"/>
  <c r="R7" i="121"/>
  <c r="R8" i="121" s="1"/>
  <c r="R9" i="121" s="1"/>
  <c r="R10" i="121" s="1"/>
  <c r="R11" i="121" s="1"/>
  <c r="R12" i="121" s="1"/>
  <c r="R13" i="121" s="1"/>
  <c r="R14" i="121" s="1"/>
  <c r="N6" i="121"/>
  <c r="X6" i="122"/>
  <c r="S6" i="122"/>
  <c r="X8" i="117"/>
  <c r="S8" i="117"/>
  <c r="T7" i="116"/>
  <c r="O7" i="116"/>
  <c r="T14" i="120"/>
  <c r="O14" i="120"/>
  <c r="T6" i="117"/>
  <c r="O6" i="117"/>
  <c r="X10" i="117"/>
  <c r="S10" i="117"/>
  <c r="X11" i="118"/>
  <c r="S11" i="118"/>
  <c r="T14" i="118"/>
  <c r="O14" i="118"/>
  <c r="R6" i="118"/>
  <c r="V7" i="118"/>
  <c r="V8" i="118" s="1"/>
  <c r="V9" i="118" s="1"/>
  <c r="V10" i="118" s="1"/>
  <c r="V11" i="118" s="1"/>
  <c r="V12" i="118" s="1"/>
  <c r="V13" i="118" s="1"/>
  <c r="V14" i="118" s="1"/>
  <c r="X12" i="118"/>
  <c r="S12" i="118"/>
  <c r="T13" i="118"/>
  <c r="O13" i="118"/>
  <c r="X7" i="117"/>
  <c r="S7" i="117"/>
  <c r="L13" i="122"/>
  <c r="G13" i="122"/>
  <c r="H13" i="122" s="1"/>
  <c r="X10" i="116"/>
  <c r="S10" i="116"/>
  <c r="R7" i="123"/>
  <c r="R8" i="123" s="1"/>
  <c r="R9" i="123" s="1"/>
  <c r="R10" i="123" s="1"/>
  <c r="R11" i="123" s="1"/>
  <c r="R12" i="123" s="1"/>
  <c r="R13" i="123" s="1"/>
  <c r="R14" i="123" s="1"/>
  <c r="N6" i="123"/>
  <c r="X9" i="116"/>
  <c r="S9" i="116"/>
  <c r="T6" i="123"/>
  <c r="O6" i="123"/>
  <c r="S11" i="113"/>
  <c r="X11" i="113"/>
  <c r="T13" i="114"/>
  <c r="O13" i="114"/>
  <c r="T10" i="113"/>
  <c r="O10" i="113"/>
  <c r="S12" i="113"/>
  <c r="X12" i="113"/>
  <c r="T10" i="115"/>
  <c r="O10" i="115"/>
  <c r="O13" i="112"/>
  <c r="T13" i="112"/>
  <c r="S6" i="114"/>
  <c r="X6" i="114"/>
  <c r="T7" i="115"/>
  <c r="O7" i="115"/>
  <c r="X9" i="113"/>
  <c r="S9" i="113"/>
  <c r="T9" i="115"/>
  <c r="O9" i="115"/>
  <c r="X6" i="115"/>
  <c r="S6" i="115"/>
  <c r="X8" i="113"/>
  <c r="S8" i="113"/>
  <c r="P7" i="113"/>
  <c r="K7" i="113"/>
  <c r="T8" i="115"/>
  <c r="O8" i="115"/>
  <c r="O7" i="110"/>
  <c r="T7" i="110"/>
  <c r="X10" i="111"/>
  <c r="S10" i="111"/>
  <c r="T9" i="110"/>
  <c r="O9" i="110"/>
  <c r="T11" i="111"/>
  <c r="O11" i="111"/>
  <c r="X14" i="110"/>
  <c r="S14" i="110"/>
  <c r="X13" i="110"/>
  <c r="S13" i="110"/>
  <c r="P7" i="111"/>
  <c r="K7" i="111"/>
  <c r="P8" i="110"/>
  <c r="K8" i="110"/>
  <c r="T10" i="110"/>
  <c r="O10" i="110"/>
  <c r="X8" i="111"/>
  <c r="S8" i="111"/>
  <c r="P9" i="111"/>
  <c r="K9" i="111"/>
  <c r="X12" i="111"/>
  <c r="S12" i="111"/>
  <c r="X12" i="110"/>
  <c r="S12" i="110"/>
  <c r="R7" i="111"/>
  <c r="R8" i="111" s="1"/>
  <c r="R9" i="111" s="1"/>
  <c r="R10" i="111" s="1"/>
  <c r="R11" i="111" s="1"/>
  <c r="R12" i="111" s="1"/>
  <c r="R13" i="111" s="1"/>
  <c r="R14" i="111" s="1"/>
  <c r="N6" i="111"/>
  <c r="T10" i="109"/>
  <c r="O10" i="109"/>
  <c r="X6" i="109"/>
  <c r="S6" i="109"/>
  <c r="T9" i="109"/>
  <c r="O9" i="109"/>
  <c r="T8" i="109"/>
  <c r="O8" i="109"/>
  <c r="T7" i="109"/>
  <c r="O7" i="109"/>
  <c r="AR6" i="1"/>
  <c r="V6" i="1"/>
  <c r="Z7" i="1"/>
  <c r="Z8" i="1" s="1"/>
  <c r="Z9" i="1" s="1"/>
  <c r="Z10" i="1" s="1"/>
  <c r="Z11" i="1" s="1"/>
  <c r="Z12" i="1" s="1"/>
  <c r="Z13" i="1" s="1"/>
  <c r="Z14" i="1" s="1"/>
  <c r="AS7" i="1"/>
  <c r="AL19" i="1"/>
  <c r="R35" i="3"/>
  <c r="N5" i="3"/>
  <c r="R36" i="3"/>
  <c r="R32" i="3"/>
  <c r="R25" i="3"/>
  <c r="R29" i="3"/>
  <c r="R38" i="3"/>
  <c r="T38" i="3" s="1"/>
  <c r="T35" i="3"/>
  <c r="S34" i="3"/>
  <c r="S25" i="3"/>
  <c r="S29" i="3"/>
  <c r="R33" i="3"/>
  <c r="T33" i="3" s="1"/>
  <c r="R37" i="3"/>
  <c r="R39" i="3"/>
  <c r="T36" i="3"/>
  <c r="S35" i="3"/>
  <c r="N24" i="3"/>
  <c r="T25" i="3"/>
  <c r="R30" i="3"/>
  <c r="R28" i="3"/>
  <c r="S28" i="3" s="1"/>
  <c r="R26" i="3"/>
  <c r="R27" i="3"/>
  <c r="S33" i="3"/>
  <c r="T37" i="3"/>
  <c r="S30" i="3"/>
  <c r="F9" i="3"/>
  <c r="J33" i="109"/>
  <c r="J31" i="109"/>
  <c r="J34" i="109"/>
  <c r="AH30" i="109"/>
  <c r="AH33" i="109"/>
  <c r="J32" i="109"/>
  <c r="V30" i="109"/>
  <c r="V33" i="109"/>
  <c r="J30" i="109"/>
  <c r="T26" i="3"/>
  <c r="S26" i="3"/>
  <c r="J34" i="120"/>
  <c r="AH30" i="119"/>
  <c r="J34" i="119"/>
  <c r="J30" i="120"/>
  <c r="V33" i="120"/>
  <c r="J30" i="121"/>
  <c r="J31" i="122"/>
  <c r="V30" i="121"/>
  <c r="J33" i="121"/>
  <c r="J31" i="121"/>
  <c r="V33" i="121"/>
  <c r="AH33" i="121"/>
  <c r="AH30" i="121"/>
  <c r="J34" i="121"/>
  <c r="J33" i="122"/>
  <c r="J30" i="122"/>
  <c r="V33" i="122"/>
  <c r="AH30" i="122"/>
  <c r="J34" i="122"/>
  <c r="J30" i="123"/>
  <c r="V33" i="123"/>
  <c r="V30" i="123"/>
  <c r="J32" i="123"/>
  <c r="AH33" i="123"/>
  <c r="AH30" i="123"/>
  <c r="J34" i="123"/>
  <c r="V30" i="122"/>
  <c r="J32" i="122"/>
  <c r="AH33" i="122"/>
  <c r="J31" i="123"/>
  <c r="J33" i="123"/>
  <c r="J31" i="110"/>
  <c r="J30" i="111"/>
  <c r="V30" i="111"/>
  <c r="J33" i="110"/>
  <c r="V33" i="111"/>
  <c r="AH30" i="110"/>
  <c r="J34" i="110"/>
  <c r="AH33" i="111"/>
  <c r="J30" i="110"/>
  <c r="V33" i="110"/>
  <c r="V30" i="110"/>
  <c r="J32" i="110"/>
  <c r="AH33" i="110"/>
  <c r="J32" i="111"/>
  <c r="AH30" i="111"/>
  <c r="J34" i="111"/>
  <c r="J31" i="111"/>
  <c r="J33" i="111"/>
  <c r="AH30" i="112"/>
  <c r="AH33" i="112"/>
  <c r="V33" i="112"/>
  <c r="J30" i="112"/>
  <c r="J32" i="112"/>
  <c r="J34" i="112"/>
  <c r="J30" i="113"/>
  <c r="V30" i="112"/>
  <c r="V33" i="113"/>
  <c r="V30" i="113"/>
  <c r="AH33" i="113"/>
  <c r="AH30" i="114"/>
  <c r="J31" i="112"/>
  <c r="J33" i="112"/>
  <c r="J32" i="113"/>
  <c r="J34" i="114"/>
  <c r="J30" i="115"/>
  <c r="AH30" i="113"/>
  <c r="J34" i="113"/>
  <c r="V33" i="115"/>
  <c r="J31" i="113"/>
  <c r="J33" i="113"/>
  <c r="J30" i="114"/>
  <c r="V33" i="114"/>
  <c r="J31" i="114"/>
  <c r="J33" i="114"/>
  <c r="V30" i="115"/>
  <c r="J32" i="115"/>
  <c r="AH33" i="115"/>
  <c r="AH30" i="115"/>
  <c r="J34" i="115"/>
  <c r="V30" i="114"/>
  <c r="J32" i="114"/>
  <c r="AH33" i="114"/>
  <c r="J31" i="115"/>
  <c r="J33" i="115"/>
  <c r="J30" i="116"/>
  <c r="V33" i="116"/>
  <c r="AH30" i="116"/>
  <c r="J34" i="116"/>
  <c r="AH30" i="117"/>
  <c r="J34" i="117"/>
  <c r="J33" i="118"/>
  <c r="V30" i="116"/>
  <c r="J32" i="116"/>
  <c r="AH33" i="116"/>
  <c r="J31" i="117"/>
  <c r="J33" i="117"/>
  <c r="V30" i="118"/>
  <c r="AH33" i="118"/>
  <c r="J30" i="117"/>
  <c r="V33" i="117"/>
  <c r="J31" i="118"/>
  <c r="J31" i="116"/>
  <c r="J33" i="116"/>
  <c r="V30" i="117"/>
  <c r="J32" i="117"/>
  <c r="AH33" i="117"/>
  <c r="J32" i="118"/>
  <c r="AH30" i="118"/>
  <c r="J34" i="118"/>
  <c r="J32" i="119"/>
  <c r="J33" i="120"/>
  <c r="J33" i="119"/>
  <c r="J30" i="118"/>
  <c r="V33" i="118"/>
  <c r="V30" i="119"/>
  <c r="AH33" i="119"/>
  <c r="J31" i="119"/>
  <c r="J31" i="120"/>
  <c r="V30" i="120"/>
  <c r="J32" i="120"/>
  <c r="AH33" i="120"/>
  <c r="J32" i="121"/>
  <c r="J30" i="119"/>
  <c r="V33" i="119"/>
  <c r="AH30" i="120"/>
  <c r="F6" i="116" l="1"/>
  <c r="F7" i="116" s="1"/>
  <c r="F8" i="116" s="1"/>
  <c r="F9" i="116" s="1"/>
  <c r="F10" i="116" s="1"/>
  <c r="F11" i="116" s="1"/>
  <c r="F12" i="116" s="1"/>
  <c r="F13" i="116" s="1"/>
  <c r="F14" i="116" s="1"/>
  <c r="J7" i="116"/>
  <c r="J8" i="116" s="1"/>
  <c r="J9" i="116" s="1"/>
  <c r="J10" i="116" s="1"/>
  <c r="J11" i="116" s="1"/>
  <c r="J12" i="116" s="1"/>
  <c r="J13" i="116" s="1"/>
  <c r="J14" i="116" s="1"/>
  <c r="R7" i="109"/>
  <c r="R8" i="109" s="1"/>
  <c r="R9" i="109" s="1"/>
  <c r="R10" i="109" s="1"/>
  <c r="R11" i="109" s="1"/>
  <c r="R12" i="109" s="1"/>
  <c r="R13" i="109" s="1"/>
  <c r="R14" i="109" s="1"/>
  <c r="N6" i="109"/>
  <c r="J6" i="112"/>
  <c r="N7" i="112"/>
  <c r="N8" i="112" s="1"/>
  <c r="N9" i="112" s="1"/>
  <c r="N10" i="112" s="1"/>
  <c r="N11" i="112" s="1"/>
  <c r="N12" i="112" s="1"/>
  <c r="N13" i="112" s="1"/>
  <c r="N14" i="112" s="1"/>
  <c r="N7" i="114"/>
  <c r="N8" i="114" s="1"/>
  <c r="N9" i="114" s="1"/>
  <c r="N10" i="114" s="1"/>
  <c r="N11" i="114" s="1"/>
  <c r="N12" i="114" s="1"/>
  <c r="N13" i="114" s="1"/>
  <c r="N14" i="114" s="1"/>
  <c r="J6" i="114"/>
  <c r="N7" i="117"/>
  <c r="N8" i="117" s="1"/>
  <c r="N9" i="117" s="1"/>
  <c r="N10" i="117" s="1"/>
  <c r="N11" i="117" s="1"/>
  <c r="N12" i="117" s="1"/>
  <c r="N13" i="117" s="1"/>
  <c r="N14" i="117" s="1"/>
  <c r="J6" i="117"/>
  <c r="J7" i="115"/>
  <c r="J8" i="115" s="1"/>
  <c r="J9" i="115" s="1"/>
  <c r="J10" i="115" s="1"/>
  <c r="J11" i="115" s="1"/>
  <c r="J12" i="115" s="1"/>
  <c r="J13" i="115" s="1"/>
  <c r="J14" i="115" s="1"/>
  <c r="F6" i="115"/>
  <c r="F7" i="115" s="1"/>
  <c r="F8" i="115" s="1"/>
  <c r="F9" i="115" s="1"/>
  <c r="F10" i="115" s="1"/>
  <c r="F11" i="115" s="1"/>
  <c r="F12" i="115" s="1"/>
  <c r="F13" i="115" s="1"/>
  <c r="F14" i="115" s="1"/>
  <c r="F6" i="113"/>
  <c r="F7" i="113" s="1"/>
  <c r="F8" i="113" s="1"/>
  <c r="F9" i="113" s="1"/>
  <c r="F10" i="113" s="1"/>
  <c r="F11" i="113" s="1"/>
  <c r="F12" i="113" s="1"/>
  <c r="F13" i="113" s="1"/>
  <c r="F14" i="113" s="1"/>
  <c r="J7" i="113"/>
  <c r="J8" i="113" s="1"/>
  <c r="J9" i="113" s="1"/>
  <c r="J10" i="113" s="1"/>
  <c r="J11" i="113" s="1"/>
  <c r="J12" i="113" s="1"/>
  <c r="J13" i="113" s="1"/>
  <c r="J14" i="113" s="1"/>
  <c r="J6" i="110"/>
  <c r="N7" i="110"/>
  <c r="N8" i="110" s="1"/>
  <c r="N9" i="110" s="1"/>
  <c r="N10" i="110" s="1"/>
  <c r="N11" i="110" s="1"/>
  <c r="N12" i="110" s="1"/>
  <c r="N13" i="110" s="1"/>
  <c r="N14" i="110" s="1"/>
  <c r="J35" i="119"/>
  <c r="V32" i="121"/>
  <c r="V32" i="120"/>
  <c r="AH31" i="120"/>
  <c r="AH31" i="119"/>
  <c r="J35" i="118"/>
  <c r="V32" i="119"/>
  <c r="AH34" i="118"/>
  <c r="V34" i="118"/>
  <c r="V32" i="118"/>
  <c r="V35" i="118" s="1"/>
  <c r="V32" i="117"/>
  <c r="AH31" i="116"/>
  <c r="AH31" i="118"/>
  <c r="J35" i="117"/>
  <c r="AH31" i="117"/>
  <c r="V32" i="116"/>
  <c r="V35" i="116"/>
  <c r="V34" i="117"/>
  <c r="AH34" i="117"/>
  <c r="AH35" i="117" s="1"/>
  <c r="V34" i="116"/>
  <c r="AH34" i="116"/>
  <c r="J35" i="116"/>
  <c r="AH31" i="115"/>
  <c r="V32" i="114"/>
  <c r="AH34" i="115"/>
  <c r="V34" i="115"/>
  <c r="V32" i="115"/>
  <c r="AH31" i="114"/>
  <c r="J35" i="114"/>
  <c r="AH31" i="113"/>
  <c r="AH35" i="113" s="1"/>
  <c r="V34" i="113"/>
  <c r="V35" i="113" s="1"/>
  <c r="AH34" i="113"/>
  <c r="J35" i="115"/>
  <c r="V34" i="114"/>
  <c r="AH34" i="114"/>
  <c r="V32" i="113"/>
  <c r="AH31" i="112"/>
  <c r="J35" i="113"/>
  <c r="V34" i="112"/>
  <c r="AH34" i="112"/>
  <c r="AH35" i="112" s="1"/>
  <c r="V32" i="112"/>
  <c r="V35" i="112" s="1"/>
  <c r="J35" i="112"/>
  <c r="AH31" i="111"/>
  <c r="AH34" i="111"/>
  <c r="V34" i="111"/>
  <c r="V32" i="111"/>
  <c r="V32" i="110"/>
  <c r="J35" i="110"/>
  <c r="V34" i="110"/>
  <c r="V35" i="110" s="1"/>
  <c r="AH34" i="110"/>
  <c r="J35" i="111"/>
  <c r="AH31" i="110"/>
  <c r="AH31" i="123"/>
  <c r="V32" i="122"/>
  <c r="V32" i="123"/>
  <c r="J35" i="123"/>
  <c r="J35" i="122"/>
  <c r="AH31" i="121"/>
  <c r="AH31" i="122"/>
  <c r="J35" i="121"/>
  <c r="J35" i="120"/>
  <c r="AH34" i="123"/>
  <c r="AH35" i="123" s="1"/>
  <c r="V34" i="123"/>
  <c r="AH34" i="122"/>
  <c r="V34" i="122"/>
  <c r="AH34" i="121"/>
  <c r="V34" i="121"/>
  <c r="V35" i="121" s="1"/>
  <c r="V34" i="119"/>
  <c r="AH34" i="119"/>
  <c r="AH34" i="120"/>
  <c r="V34" i="120"/>
  <c r="P6" i="123"/>
  <c r="K6" i="123"/>
  <c r="N7" i="123"/>
  <c r="N8" i="123" s="1"/>
  <c r="N9" i="123" s="1"/>
  <c r="N10" i="123" s="1"/>
  <c r="N11" i="123" s="1"/>
  <c r="N12" i="123" s="1"/>
  <c r="N13" i="123" s="1"/>
  <c r="N14" i="123" s="1"/>
  <c r="J6" i="123"/>
  <c r="P13" i="118"/>
  <c r="K13" i="118"/>
  <c r="T11" i="118"/>
  <c r="O11" i="118"/>
  <c r="P6" i="117"/>
  <c r="K6" i="117"/>
  <c r="P7" i="116"/>
  <c r="K7" i="116"/>
  <c r="T6" i="122"/>
  <c r="O6" i="122"/>
  <c r="N7" i="119"/>
  <c r="N8" i="119" s="1"/>
  <c r="N9" i="119" s="1"/>
  <c r="N10" i="119" s="1"/>
  <c r="N11" i="119" s="1"/>
  <c r="N12" i="119" s="1"/>
  <c r="N13" i="119" s="1"/>
  <c r="N14" i="119" s="1"/>
  <c r="J6" i="119"/>
  <c r="T14" i="121"/>
  <c r="O14" i="121"/>
  <c r="J6" i="120"/>
  <c r="N7" i="120"/>
  <c r="N8" i="120" s="1"/>
  <c r="N9" i="120" s="1"/>
  <c r="N10" i="120" s="1"/>
  <c r="N11" i="120" s="1"/>
  <c r="N12" i="120" s="1"/>
  <c r="N13" i="120" s="1"/>
  <c r="N14" i="120" s="1"/>
  <c r="P14" i="122"/>
  <c r="K14" i="122"/>
  <c r="T8" i="116"/>
  <c r="O8" i="116"/>
  <c r="N6" i="118"/>
  <c r="R7" i="118"/>
  <c r="R8" i="118" s="1"/>
  <c r="R9" i="118" s="1"/>
  <c r="R10" i="118" s="1"/>
  <c r="R11" i="118" s="1"/>
  <c r="R12" i="118" s="1"/>
  <c r="R13" i="118" s="1"/>
  <c r="R14" i="118" s="1"/>
  <c r="T9" i="116"/>
  <c r="O9" i="116"/>
  <c r="T10" i="116"/>
  <c r="O10" i="116"/>
  <c r="T7" i="117"/>
  <c r="O7" i="117"/>
  <c r="T12" i="118"/>
  <c r="O12" i="118"/>
  <c r="P14" i="118"/>
  <c r="K14" i="118"/>
  <c r="T10" i="117"/>
  <c r="O10" i="117"/>
  <c r="P14" i="120"/>
  <c r="K14" i="120"/>
  <c r="T8" i="117"/>
  <c r="O8" i="117"/>
  <c r="N7" i="121"/>
  <c r="N8" i="121" s="1"/>
  <c r="N9" i="121" s="1"/>
  <c r="N10" i="121" s="1"/>
  <c r="N11" i="121" s="1"/>
  <c r="N12" i="121" s="1"/>
  <c r="N13" i="121" s="1"/>
  <c r="N14" i="121" s="1"/>
  <c r="J6" i="121"/>
  <c r="T9" i="117"/>
  <c r="O9" i="117"/>
  <c r="P13" i="121"/>
  <c r="K13" i="121"/>
  <c r="P13" i="120"/>
  <c r="K13" i="120"/>
  <c r="R7" i="122"/>
  <c r="R8" i="122" s="1"/>
  <c r="R9" i="122" s="1"/>
  <c r="R10" i="122" s="1"/>
  <c r="R11" i="122" s="1"/>
  <c r="R12" i="122" s="1"/>
  <c r="R13" i="122" s="1"/>
  <c r="R14" i="122" s="1"/>
  <c r="N6" i="122"/>
  <c r="K14" i="119"/>
  <c r="P14" i="119"/>
  <c r="P8" i="115"/>
  <c r="K8" i="115"/>
  <c r="T8" i="113"/>
  <c r="O8" i="113"/>
  <c r="P9" i="115"/>
  <c r="K9" i="115"/>
  <c r="P7" i="115"/>
  <c r="K7" i="115"/>
  <c r="P13" i="114"/>
  <c r="K13" i="114"/>
  <c r="P13" i="112"/>
  <c r="K13" i="112"/>
  <c r="T12" i="113"/>
  <c r="O12" i="113"/>
  <c r="L7" i="113"/>
  <c r="G7" i="113"/>
  <c r="H7" i="113" s="1"/>
  <c r="T6" i="115"/>
  <c r="O6" i="115"/>
  <c r="T9" i="113"/>
  <c r="O9" i="113"/>
  <c r="P10" i="115"/>
  <c r="K10" i="115"/>
  <c r="P10" i="113"/>
  <c r="K10" i="113"/>
  <c r="T6" i="114"/>
  <c r="O6" i="114"/>
  <c r="T11" i="113"/>
  <c r="O11" i="113"/>
  <c r="P7" i="110"/>
  <c r="K7" i="110"/>
  <c r="J6" i="111"/>
  <c r="N7" i="111"/>
  <c r="N8" i="111" s="1"/>
  <c r="N9" i="111" s="1"/>
  <c r="N10" i="111" s="1"/>
  <c r="N11" i="111" s="1"/>
  <c r="N12" i="111" s="1"/>
  <c r="N13" i="111" s="1"/>
  <c r="N14" i="111" s="1"/>
  <c r="T12" i="111"/>
  <c r="O12" i="111"/>
  <c r="O8" i="111"/>
  <c r="T8" i="111"/>
  <c r="G8" i="110"/>
  <c r="H8" i="110" s="1"/>
  <c r="L8" i="110"/>
  <c r="T13" i="110"/>
  <c r="O13" i="110"/>
  <c r="P11" i="111"/>
  <c r="K11" i="111"/>
  <c r="T10" i="111"/>
  <c r="O10" i="111"/>
  <c r="T12" i="110"/>
  <c r="O12" i="110"/>
  <c r="G9" i="111"/>
  <c r="H9" i="111" s="1"/>
  <c r="L9" i="111"/>
  <c r="K10" i="110"/>
  <c r="P10" i="110"/>
  <c r="G7" i="111"/>
  <c r="H7" i="111" s="1"/>
  <c r="L7" i="111"/>
  <c r="T14" i="110"/>
  <c r="O14" i="110"/>
  <c r="P9" i="110"/>
  <c r="K9" i="110"/>
  <c r="J35" i="109"/>
  <c r="V32" i="109"/>
  <c r="V34" i="109"/>
  <c r="AH34" i="109"/>
  <c r="AH31" i="109"/>
  <c r="P8" i="109"/>
  <c r="K8" i="109"/>
  <c r="T6" i="109"/>
  <c r="O6" i="109"/>
  <c r="P7" i="109"/>
  <c r="K7" i="109"/>
  <c r="P9" i="109"/>
  <c r="K9" i="109"/>
  <c r="P10" i="109"/>
  <c r="K10" i="109"/>
  <c r="AR7" i="1"/>
  <c r="V7" i="1"/>
  <c r="V8" i="1" s="1"/>
  <c r="V9" i="1" s="1"/>
  <c r="V10" i="1" s="1"/>
  <c r="V11" i="1" s="1"/>
  <c r="V12" i="1" s="1"/>
  <c r="V13" i="1" s="1"/>
  <c r="V14" i="1" s="1"/>
  <c r="R6" i="1"/>
  <c r="AS8" i="1"/>
  <c r="AS9" i="1" s="1"/>
  <c r="N27" i="1"/>
  <c r="T30" i="3"/>
  <c r="S32" i="3"/>
  <c r="S36" i="3"/>
  <c r="T27" i="3"/>
  <c r="R5" i="3"/>
  <c r="S27" i="3"/>
  <c r="R24" i="3"/>
  <c r="T32" i="3"/>
  <c r="T29" i="3"/>
  <c r="T39" i="3"/>
  <c r="S37" i="3"/>
  <c r="S39" i="3"/>
  <c r="S38" i="3"/>
  <c r="T28" i="3"/>
  <c r="V35" i="122" l="1"/>
  <c r="AH35" i="110"/>
  <c r="AH35" i="115"/>
  <c r="AH35" i="120"/>
  <c r="AH35" i="118"/>
  <c r="V35" i="117"/>
  <c r="J7" i="114"/>
  <c r="J8" i="114" s="1"/>
  <c r="J9" i="114" s="1"/>
  <c r="J10" i="114" s="1"/>
  <c r="J11" i="114" s="1"/>
  <c r="J12" i="114" s="1"/>
  <c r="J13" i="114" s="1"/>
  <c r="J14" i="114" s="1"/>
  <c r="F6" i="114"/>
  <c r="F7" i="114" s="1"/>
  <c r="F8" i="114" s="1"/>
  <c r="F9" i="114" s="1"/>
  <c r="F10" i="114" s="1"/>
  <c r="F11" i="114" s="1"/>
  <c r="F12" i="114" s="1"/>
  <c r="F13" i="114" s="1"/>
  <c r="F14" i="114" s="1"/>
  <c r="N7" i="109"/>
  <c r="N8" i="109" s="1"/>
  <c r="N9" i="109" s="1"/>
  <c r="N10" i="109" s="1"/>
  <c r="N11" i="109" s="1"/>
  <c r="N12" i="109" s="1"/>
  <c r="N13" i="109" s="1"/>
  <c r="N14" i="109" s="1"/>
  <c r="J6" i="109"/>
  <c r="AH35" i="122"/>
  <c r="V35" i="123"/>
  <c r="V35" i="120"/>
  <c r="J7" i="110"/>
  <c r="J8" i="110" s="1"/>
  <c r="J9" i="110" s="1"/>
  <c r="J10" i="110" s="1"/>
  <c r="J11" i="110" s="1"/>
  <c r="J12" i="110" s="1"/>
  <c r="J13" i="110" s="1"/>
  <c r="J14" i="110" s="1"/>
  <c r="F6" i="110"/>
  <c r="F7" i="110" s="1"/>
  <c r="F8" i="110" s="1"/>
  <c r="F9" i="110" s="1"/>
  <c r="F10" i="110" s="1"/>
  <c r="F11" i="110" s="1"/>
  <c r="F12" i="110" s="1"/>
  <c r="F13" i="110" s="1"/>
  <c r="F14" i="110" s="1"/>
  <c r="AH35" i="111"/>
  <c r="AH35" i="114"/>
  <c r="V35" i="114"/>
  <c r="J7" i="117"/>
  <c r="J8" i="117" s="1"/>
  <c r="J9" i="117" s="1"/>
  <c r="J10" i="117" s="1"/>
  <c r="J11" i="117" s="1"/>
  <c r="J12" i="117" s="1"/>
  <c r="J13" i="117" s="1"/>
  <c r="J14" i="117" s="1"/>
  <c r="F6" i="117"/>
  <c r="F7" i="117" s="1"/>
  <c r="F8" i="117" s="1"/>
  <c r="F9" i="117" s="1"/>
  <c r="F10" i="117" s="1"/>
  <c r="F11" i="117" s="1"/>
  <c r="F12" i="117" s="1"/>
  <c r="F13" i="117" s="1"/>
  <c r="F14" i="117" s="1"/>
  <c r="V35" i="111"/>
  <c r="V35" i="115"/>
  <c r="AH35" i="116"/>
  <c r="J7" i="112"/>
  <c r="J8" i="112" s="1"/>
  <c r="J9" i="112" s="1"/>
  <c r="J10" i="112" s="1"/>
  <c r="J11" i="112" s="1"/>
  <c r="J12" i="112" s="1"/>
  <c r="J13" i="112" s="1"/>
  <c r="J14" i="112" s="1"/>
  <c r="F6" i="112"/>
  <c r="F7" i="112" s="1"/>
  <c r="F8" i="112" s="1"/>
  <c r="F9" i="112" s="1"/>
  <c r="F10" i="112" s="1"/>
  <c r="F11" i="112" s="1"/>
  <c r="F12" i="112" s="1"/>
  <c r="F13" i="112" s="1"/>
  <c r="F14" i="112" s="1"/>
  <c r="AH35" i="119"/>
  <c r="AH35" i="121"/>
  <c r="V35" i="119"/>
  <c r="L13" i="121"/>
  <c r="G13" i="121"/>
  <c r="H13" i="121" s="1"/>
  <c r="J7" i="119"/>
  <c r="J8" i="119" s="1"/>
  <c r="J9" i="119" s="1"/>
  <c r="J10" i="119" s="1"/>
  <c r="J11" i="119" s="1"/>
  <c r="J12" i="119" s="1"/>
  <c r="J13" i="119" s="1"/>
  <c r="J14" i="119" s="1"/>
  <c r="F6" i="119"/>
  <c r="F7" i="119" s="1"/>
  <c r="F8" i="119" s="1"/>
  <c r="F9" i="119" s="1"/>
  <c r="F10" i="119" s="1"/>
  <c r="F11" i="119" s="1"/>
  <c r="F12" i="119" s="1"/>
  <c r="F13" i="119" s="1"/>
  <c r="F14" i="119" s="1"/>
  <c r="J7" i="123"/>
  <c r="J8" i="123" s="1"/>
  <c r="J9" i="123" s="1"/>
  <c r="J10" i="123" s="1"/>
  <c r="J11" i="123" s="1"/>
  <c r="J12" i="123" s="1"/>
  <c r="J13" i="123" s="1"/>
  <c r="J14" i="123" s="1"/>
  <c r="F6" i="123"/>
  <c r="F7" i="123" s="1"/>
  <c r="F8" i="123" s="1"/>
  <c r="F9" i="123" s="1"/>
  <c r="F10" i="123" s="1"/>
  <c r="F11" i="123" s="1"/>
  <c r="F12" i="123" s="1"/>
  <c r="F13" i="123" s="1"/>
  <c r="F14" i="123" s="1"/>
  <c r="F6" i="120"/>
  <c r="F7" i="120" s="1"/>
  <c r="F8" i="120" s="1"/>
  <c r="F9" i="120" s="1"/>
  <c r="F10" i="120" s="1"/>
  <c r="F11" i="120" s="1"/>
  <c r="F12" i="120" s="1"/>
  <c r="F13" i="120" s="1"/>
  <c r="F14" i="120" s="1"/>
  <c r="J7" i="120"/>
  <c r="J8" i="120" s="1"/>
  <c r="J9" i="120" s="1"/>
  <c r="J10" i="120" s="1"/>
  <c r="J11" i="120" s="1"/>
  <c r="J12" i="120" s="1"/>
  <c r="J13" i="120" s="1"/>
  <c r="J14" i="120" s="1"/>
  <c r="J7" i="121"/>
  <c r="J8" i="121" s="1"/>
  <c r="J9" i="121" s="1"/>
  <c r="J10" i="121" s="1"/>
  <c r="J11" i="121" s="1"/>
  <c r="J12" i="121" s="1"/>
  <c r="J13" i="121" s="1"/>
  <c r="J14" i="121" s="1"/>
  <c r="F6" i="121"/>
  <c r="F7" i="121" s="1"/>
  <c r="F8" i="121" s="1"/>
  <c r="F9" i="121" s="1"/>
  <c r="F10" i="121" s="1"/>
  <c r="F11" i="121" s="1"/>
  <c r="F12" i="121" s="1"/>
  <c r="F13" i="121" s="1"/>
  <c r="F14" i="121" s="1"/>
  <c r="P7" i="117"/>
  <c r="K7" i="117"/>
  <c r="P11" i="118"/>
  <c r="K11" i="118"/>
  <c r="L13" i="120"/>
  <c r="G13" i="120"/>
  <c r="H13" i="120" s="1"/>
  <c r="P9" i="117"/>
  <c r="K9" i="117"/>
  <c r="P8" i="117"/>
  <c r="K8" i="117"/>
  <c r="P10" i="117"/>
  <c r="K10" i="117"/>
  <c r="P12" i="118"/>
  <c r="K12" i="118"/>
  <c r="P10" i="116"/>
  <c r="K10" i="116"/>
  <c r="L14" i="122"/>
  <c r="G14" i="122"/>
  <c r="H14" i="122" s="1"/>
  <c r="P14" i="121"/>
  <c r="K14" i="121"/>
  <c r="P6" i="122"/>
  <c r="K6" i="122"/>
  <c r="L6" i="117"/>
  <c r="G6" i="117"/>
  <c r="H6" i="117" s="1"/>
  <c r="L13" i="118"/>
  <c r="G13" i="118"/>
  <c r="H13" i="118" s="1"/>
  <c r="L6" i="123"/>
  <c r="G6" i="123"/>
  <c r="H6" i="123" s="1"/>
  <c r="N7" i="122"/>
  <c r="N8" i="122" s="1"/>
  <c r="N9" i="122" s="1"/>
  <c r="N10" i="122" s="1"/>
  <c r="N11" i="122" s="1"/>
  <c r="N12" i="122" s="1"/>
  <c r="N13" i="122" s="1"/>
  <c r="N14" i="122" s="1"/>
  <c r="J6" i="122"/>
  <c r="L14" i="120"/>
  <c r="G14" i="120"/>
  <c r="H14" i="120" s="1"/>
  <c r="L14" i="118"/>
  <c r="G14" i="118"/>
  <c r="H14" i="118" s="1"/>
  <c r="P9" i="116"/>
  <c r="K9" i="116"/>
  <c r="P8" i="116"/>
  <c r="K8" i="116"/>
  <c r="L7" i="116"/>
  <c r="G7" i="116"/>
  <c r="H7" i="116" s="1"/>
  <c r="G14" i="119"/>
  <c r="H14" i="119" s="1"/>
  <c r="L14" i="119"/>
  <c r="J6" i="118"/>
  <c r="N7" i="118"/>
  <c r="N8" i="118" s="1"/>
  <c r="N9" i="118" s="1"/>
  <c r="N10" i="118" s="1"/>
  <c r="N11" i="118" s="1"/>
  <c r="N12" i="118" s="1"/>
  <c r="N13" i="118" s="1"/>
  <c r="N14" i="118" s="1"/>
  <c r="AH35" i="109"/>
  <c r="G13" i="112"/>
  <c r="H13" i="112" s="1"/>
  <c r="L13" i="112"/>
  <c r="L10" i="113"/>
  <c r="G10" i="113"/>
  <c r="H10" i="113" s="1"/>
  <c r="L7" i="115"/>
  <c r="G7" i="115"/>
  <c r="H7" i="115" s="1"/>
  <c r="P6" i="114"/>
  <c r="K6" i="114"/>
  <c r="L10" i="115"/>
  <c r="G10" i="115"/>
  <c r="H10" i="115" s="1"/>
  <c r="P6" i="115"/>
  <c r="K6" i="115"/>
  <c r="K12" i="113"/>
  <c r="P12" i="113"/>
  <c r="L13" i="114"/>
  <c r="G13" i="114"/>
  <c r="H13" i="114" s="1"/>
  <c r="L9" i="115"/>
  <c r="G9" i="115"/>
  <c r="H9" i="115" s="1"/>
  <c r="L8" i="115"/>
  <c r="G8" i="115"/>
  <c r="H8" i="115" s="1"/>
  <c r="P11" i="113"/>
  <c r="K11" i="113"/>
  <c r="P9" i="113"/>
  <c r="K9" i="113"/>
  <c r="P8" i="113"/>
  <c r="K8" i="113"/>
  <c r="J7" i="111"/>
  <c r="J8" i="111" s="1"/>
  <c r="J9" i="111" s="1"/>
  <c r="J10" i="111" s="1"/>
  <c r="J11" i="111" s="1"/>
  <c r="J12" i="111" s="1"/>
  <c r="J13" i="111" s="1"/>
  <c r="J14" i="111" s="1"/>
  <c r="F6" i="111"/>
  <c r="F7" i="111" s="1"/>
  <c r="F8" i="111" s="1"/>
  <c r="F9" i="111" s="1"/>
  <c r="F10" i="111" s="1"/>
  <c r="F11" i="111" s="1"/>
  <c r="F12" i="111" s="1"/>
  <c r="F13" i="111" s="1"/>
  <c r="F14" i="111" s="1"/>
  <c r="K10" i="111"/>
  <c r="P10" i="111"/>
  <c r="P13" i="110"/>
  <c r="K13" i="110"/>
  <c r="P8" i="111"/>
  <c r="K8" i="111"/>
  <c r="V35" i="109"/>
  <c r="P14" i="110"/>
  <c r="K14" i="110"/>
  <c r="P12" i="110"/>
  <c r="K12" i="110"/>
  <c r="L11" i="111"/>
  <c r="G11" i="111"/>
  <c r="H11" i="111" s="1"/>
  <c r="P12" i="111"/>
  <c r="K12" i="111"/>
  <c r="G7" i="110"/>
  <c r="H7" i="110" s="1"/>
  <c r="L7" i="110"/>
  <c r="L9" i="110"/>
  <c r="G9" i="110"/>
  <c r="H9" i="110" s="1"/>
  <c r="L10" i="110"/>
  <c r="G10" i="110"/>
  <c r="H10" i="110" s="1"/>
  <c r="L9" i="109"/>
  <c r="G9" i="109"/>
  <c r="H9" i="109" s="1"/>
  <c r="P6" i="109"/>
  <c r="K6" i="109"/>
  <c r="L10" i="109"/>
  <c r="G10" i="109"/>
  <c r="H10" i="109" s="1"/>
  <c r="L7" i="109"/>
  <c r="G7" i="109"/>
  <c r="H7" i="109" s="1"/>
  <c r="L8" i="109"/>
  <c r="G8" i="109"/>
  <c r="H8" i="109" s="1"/>
  <c r="N6" i="1"/>
  <c r="R7" i="1"/>
  <c r="R8" i="1" s="1"/>
  <c r="R9" i="1" s="1"/>
  <c r="R10" i="1" s="1"/>
  <c r="R11" i="1" s="1"/>
  <c r="R12" i="1" s="1"/>
  <c r="R13" i="1" s="1"/>
  <c r="R14" i="1" s="1"/>
  <c r="AR8" i="1"/>
  <c r="AS10" i="1"/>
  <c r="F12" i="3"/>
  <c r="T24" i="3"/>
  <c r="S24" i="3"/>
  <c r="J7" i="109" l="1"/>
  <c r="J8" i="109" s="1"/>
  <c r="J9" i="109" s="1"/>
  <c r="J10" i="109" s="1"/>
  <c r="J11" i="109" s="1"/>
  <c r="J12" i="109" s="1"/>
  <c r="J13" i="109" s="1"/>
  <c r="J14" i="109" s="1"/>
  <c r="F6" i="109"/>
  <c r="F7" i="109" s="1"/>
  <c r="F8" i="109" s="1"/>
  <c r="F9" i="109" s="1"/>
  <c r="F10" i="109" s="1"/>
  <c r="F11" i="109" s="1"/>
  <c r="F12" i="109" s="1"/>
  <c r="F13" i="109" s="1"/>
  <c r="F14" i="109" s="1"/>
  <c r="L12" i="118"/>
  <c r="G12" i="118"/>
  <c r="H12" i="118" s="1"/>
  <c r="L8" i="117"/>
  <c r="G8" i="117"/>
  <c r="H8" i="117" s="1"/>
  <c r="L7" i="117"/>
  <c r="G7" i="117"/>
  <c r="H7" i="117" s="1"/>
  <c r="L8" i="116"/>
  <c r="G8" i="116"/>
  <c r="H8" i="116" s="1"/>
  <c r="J7" i="122"/>
  <c r="J8" i="122" s="1"/>
  <c r="J9" i="122" s="1"/>
  <c r="J10" i="122" s="1"/>
  <c r="J11" i="122" s="1"/>
  <c r="J12" i="122" s="1"/>
  <c r="J13" i="122" s="1"/>
  <c r="J14" i="122" s="1"/>
  <c r="F6" i="122"/>
  <c r="F7" i="122" s="1"/>
  <c r="F8" i="122" s="1"/>
  <c r="F9" i="122" s="1"/>
  <c r="F10" i="122" s="1"/>
  <c r="F11" i="122" s="1"/>
  <c r="F12" i="122" s="1"/>
  <c r="F13" i="122" s="1"/>
  <c r="F14" i="122" s="1"/>
  <c r="L6" i="122"/>
  <c r="G6" i="122"/>
  <c r="H6" i="122" s="1"/>
  <c r="L9" i="116"/>
  <c r="G9" i="116"/>
  <c r="H9" i="116" s="1"/>
  <c r="L14" i="121"/>
  <c r="G14" i="121"/>
  <c r="H14" i="121" s="1"/>
  <c r="L10" i="116"/>
  <c r="G10" i="116"/>
  <c r="H10" i="116" s="1"/>
  <c r="L10" i="117"/>
  <c r="G10" i="117"/>
  <c r="H10" i="117" s="1"/>
  <c r="L9" i="117"/>
  <c r="G9" i="117"/>
  <c r="H9" i="117" s="1"/>
  <c r="L11" i="118"/>
  <c r="G11" i="118"/>
  <c r="H11" i="118" s="1"/>
  <c r="J7" i="118"/>
  <c r="J8" i="118" s="1"/>
  <c r="J9" i="118" s="1"/>
  <c r="J10" i="118" s="1"/>
  <c r="J11" i="118" s="1"/>
  <c r="J12" i="118" s="1"/>
  <c r="J13" i="118" s="1"/>
  <c r="J14" i="118" s="1"/>
  <c r="F6" i="118"/>
  <c r="F7" i="118" s="1"/>
  <c r="F8" i="118" s="1"/>
  <c r="F9" i="118" s="1"/>
  <c r="F10" i="118" s="1"/>
  <c r="F11" i="118" s="1"/>
  <c r="F12" i="118" s="1"/>
  <c r="F13" i="118" s="1"/>
  <c r="F14" i="118" s="1"/>
  <c r="L6" i="115"/>
  <c r="G6" i="115"/>
  <c r="H6" i="115" s="1"/>
  <c r="L9" i="113"/>
  <c r="G9" i="113"/>
  <c r="H9" i="113" s="1"/>
  <c r="L8" i="113"/>
  <c r="G8" i="113"/>
  <c r="H8" i="113" s="1"/>
  <c r="L11" i="113"/>
  <c r="G11" i="113"/>
  <c r="H11" i="113" s="1"/>
  <c r="L6" i="114"/>
  <c r="G6" i="114"/>
  <c r="H6" i="114" s="1"/>
  <c r="L12" i="113"/>
  <c r="G12" i="113"/>
  <c r="H12" i="113" s="1"/>
  <c r="L8" i="111"/>
  <c r="G8" i="111"/>
  <c r="H8" i="111" s="1"/>
  <c r="L14" i="110"/>
  <c r="G14" i="110"/>
  <c r="H14" i="110" s="1"/>
  <c r="L10" i="111"/>
  <c r="G10" i="111"/>
  <c r="H10" i="111" s="1"/>
  <c r="L13" i="110"/>
  <c r="G13" i="110"/>
  <c r="H13" i="110" s="1"/>
  <c r="L12" i="111"/>
  <c r="G12" i="111"/>
  <c r="H12" i="111" s="1"/>
  <c r="L12" i="110"/>
  <c r="G12" i="110"/>
  <c r="H12" i="110" s="1"/>
  <c r="L6" i="109"/>
  <c r="G6" i="109"/>
  <c r="H6" i="109" s="1"/>
  <c r="AR9" i="1"/>
  <c r="J6" i="1"/>
  <c r="N7" i="1"/>
  <c r="N8" i="1" s="1"/>
  <c r="N9" i="1" s="1"/>
  <c r="N10" i="1" s="1"/>
  <c r="N11" i="1" s="1"/>
  <c r="N12" i="1" s="1"/>
  <c r="N13" i="1" s="1"/>
  <c r="N14" i="1" s="1"/>
  <c r="AS11" i="1"/>
  <c r="AR10" i="1" l="1"/>
  <c r="F6" i="1"/>
  <c r="F7" i="1" s="1"/>
  <c r="F8" i="1" s="1"/>
  <c r="F9" i="1" s="1"/>
  <c r="F10" i="1" s="1"/>
  <c r="F11" i="1" s="1"/>
  <c r="F12" i="1" s="1"/>
  <c r="F13" i="1" s="1"/>
  <c r="F14" i="1" s="1"/>
  <c r="J7" i="1"/>
  <c r="J8" i="1" s="1"/>
  <c r="J9" i="1" s="1"/>
  <c r="J10" i="1" s="1"/>
  <c r="J11" i="1" s="1"/>
  <c r="J12" i="1" s="1"/>
  <c r="J13" i="1" s="1"/>
  <c r="J14" i="1" s="1"/>
  <c r="AS12" i="1"/>
  <c r="AR11" i="1" l="1"/>
  <c r="AS13" i="1"/>
  <c r="AR12" i="1" l="1"/>
  <c r="AS14" i="1"/>
  <c r="AR13" i="1" l="1"/>
  <c r="AO6" i="1"/>
  <c r="AR14" i="1" l="1"/>
  <c r="AO7" i="1"/>
  <c r="AN6" i="1" l="1"/>
  <c r="AO8" i="1"/>
  <c r="AN7" i="1" l="1"/>
  <c r="AO9" i="1"/>
  <c r="AN8" i="1" l="1"/>
  <c r="AO10" i="1"/>
  <c r="AN9" i="1" l="1"/>
  <c r="AO11" i="1"/>
  <c r="AN10" i="1" l="1"/>
  <c r="AO12" i="1"/>
  <c r="AN11" i="1" l="1"/>
  <c r="AO13" i="1"/>
  <c r="AN12" i="1" l="1"/>
  <c r="AO14" i="1"/>
  <c r="AN13" i="1" l="1"/>
  <c r="AK6" i="1"/>
  <c r="AN14" i="1" l="1"/>
  <c r="AK7" i="1"/>
  <c r="AJ6" i="1" l="1"/>
  <c r="AK8" i="1"/>
  <c r="AJ7" i="1" l="1"/>
  <c r="AK9" i="1"/>
  <c r="AJ8" i="1" l="1"/>
  <c r="AK10" i="1"/>
  <c r="AJ9" i="1" l="1"/>
  <c r="AK11" i="1"/>
  <c r="AJ10" i="1" l="1"/>
  <c r="AK12" i="1"/>
  <c r="AJ11" i="1" l="1"/>
  <c r="AK13" i="1"/>
  <c r="AJ12" i="1" l="1"/>
  <c r="AK14" i="1"/>
  <c r="AJ13" i="1" l="1"/>
  <c r="AG6" i="1"/>
  <c r="AJ14" i="1" l="1"/>
  <c r="AG7" i="1"/>
  <c r="AF6" i="1" l="1"/>
  <c r="AG8" i="1"/>
  <c r="AF7" i="1" l="1"/>
  <c r="AG9" i="1"/>
  <c r="AF8" i="1" l="1"/>
  <c r="AG10" i="1"/>
  <c r="AF9" i="1" l="1"/>
  <c r="AG11" i="1"/>
  <c r="AF10" i="1" l="1"/>
  <c r="AG12" i="1"/>
  <c r="AF11" i="1" l="1"/>
  <c r="AG13" i="1"/>
  <c r="AF12" i="1" l="1"/>
  <c r="AG14" i="1"/>
  <c r="AF13" i="1" l="1"/>
  <c r="AC6" i="1"/>
  <c r="AF14" i="1" l="1"/>
  <c r="AC7" i="1"/>
  <c r="AB6" i="1" l="1"/>
  <c r="AC8" i="1"/>
  <c r="AB7" i="1" l="1"/>
  <c r="AC9" i="1"/>
  <c r="AB8" i="1" l="1"/>
  <c r="AC10" i="1"/>
  <c r="AB9" i="1" l="1"/>
  <c r="AC11" i="1"/>
  <c r="AB10" i="1" l="1"/>
  <c r="AC12" i="1"/>
  <c r="AB11" i="1" l="1"/>
  <c r="AC13" i="1"/>
  <c r="AB12" i="1"/>
  <c r="AC14" i="1" l="1"/>
  <c r="AB13" i="1"/>
  <c r="Y6" i="1" l="1"/>
  <c r="AB14" i="1"/>
  <c r="X6" i="1" l="1"/>
  <c r="Y7" i="1"/>
  <c r="X7" i="1" l="1"/>
  <c r="Y8" i="1"/>
  <c r="X8" i="1" l="1"/>
  <c r="Y9" i="1"/>
  <c r="X9" i="1" l="1"/>
  <c r="Y10" i="1"/>
  <c r="X10" i="1" l="1"/>
  <c r="Y11" i="1"/>
  <c r="X11" i="1" l="1"/>
  <c r="Y12" i="1"/>
  <c r="Y13" i="1" l="1"/>
  <c r="X12" i="1"/>
  <c r="Y14" i="1" l="1"/>
  <c r="X13" i="1"/>
  <c r="U6" i="1" l="1"/>
  <c r="X14" i="1"/>
  <c r="U7" i="1" l="1"/>
  <c r="T6" i="1"/>
  <c r="T7" i="1" l="1"/>
  <c r="U8" i="1"/>
  <c r="T8" i="1" l="1"/>
  <c r="U9" i="1"/>
  <c r="T9" i="1" l="1"/>
  <c r="U10" i="1"/>
  <c r="T10" i="1" l="1"/>
  <c r="U11" i="1"/>
  <c r="T11" i="1" l="1"/>
  <c r="U12" i="1"/>
  <c r="U13" i="1" l="1"/>
  <c r="T12" i="1"/>
  <c r="U14" i="1" l="1"/>
  <c r="T13" i="1"/>
  <c r="Q6" i="1" l="1"/>
  <c r="T14" i="1"/>
  <c r="P6" i="1" l="1"/>
  <c r="Q7" i="1"/>
  <c r="P7" i="1" l="1"/>
  <c r="Q8" i="1"/>
  <c r="P8" i="1" l="1"/>
  <c r="Q9" i="1"/>
  <c r="P9" i="1" l="1"/>
  <c r="Q10" i="1"/>
  <c r="P10" i="1" l="1"/>
  <c r="Q11" i="1"/>
  <c r="P11" i="1" l="1"/>
  <c r="Q12" i="1"/>
  <c r="Q13" i="1" l="1"/>
  <c r="P12" i="1"/>
  <c r="Q14" i="1" l="1"/>
  <c r="P13" i="1"/>
  <c r="M6" i="1" l="1"/>
  <c r="P14" i="1"/>
  <c r="M7" i="1" l="1"/>
  <c r="L6" i="1"/>
  <c r="L7" i="1" l="1"/>
  <c r="M8" i="1"/>
  <c r="L8" i="1" l="1"/>
  <c r="M9" i="1"/>
  <c r="L9" i="1" l="1"/>
  <c r="M10" i="1"/>
  <c r="L10" i="1" l="1"/>
  <c r="M11" i="1"/>
  <c r="L11" i="1" l="1"/>
  <c r="M12" i="1"/>
  <c r="M13" i="1" l="1"/>
  <c r="L12" i="1"/>
  <c r="M14" i="1" l="1"/>
  <c r="L13" i="1"/>
  <c r="I6" i="1" l="1"/>
  <c r="L14" i="1"/>
  <c r="H6" i="1" l="1"/>
  <c r="I7" i="1"/>
  <c r="H7" i="1" l="1"/>
  <c r="I8" i="1"/>
  <c r="H8" i="1" l="1"/>
  <c r="I9" i="1"/>
  <c r="H9" i="1" l="1"/>
  <c r="I10" i="1"/>
  <c r="P18" i="3"/>
  <c r="F19" i="3"/>
  <c r="F17" i="3"/>
  <c r="F18" i="3"/>
  <c r="F15" i="3"/>
  <c r="K18" i="3"/>
  <c r="K15" i="3"/>
  <c r="F16" i="3"/>
  <c r="P15" i="3"/>
  <c r="P19" i="3" l="1"/>
  <c r="K19" i="3"/>
  <c r="P16" i="3"/>
  <c r="K17" i="3"/>
  <c r="F20" i="3"/>
  <c r="H10" i="1"/>
  <c r="I11" i="1"/>
  <c r="P20" i="3" l="1"/>
  <c r="K20" i="3"/>
  <c r="H11" i="1"/>
  <c r="I12" i="1"/>
  <c r="I13" i="1" l="1"/>
  <c r="H12" i="1"/>
  <c r="I14" i="1" l="1"/>
  <c r="H13" i="1"/>
  <c r="H14" i="1" l="1"/>
  <c r="AH33" i="1"/>
  <c r="J34" i="1"/>
  <c r="J33" i="1"/>
  <c r="V33" i="1"/>
  <c r="J32" i="1"/>
  <c r="AH34" i="1" l="1"/>
  <c r="V34" i="1"/>
  <c r="V32" i="1"/>
  <c r="AH30" i="1"/>
  <c r="J31" i="1"/>
  <c r="AH31" i="1" l="1"/>
  <c r="AH35" i="1" s="1"/>
  <c r="V30" i="1"/>
  <c r="J30" i="1"/>
  <c r="V35" i="1" l="1"/>
  <c r="J35" i="1"/>
</calcChain>
</file>

<file path=xl/sharedStrings.xml><?xml version="1.0" encoding="utf-8"?>
<sst xmlns="http://schemas.openxmlformats.org/spreadsheetml/2006/main" count="1029" uniqueCount="51">
  <si>
    <t>GÜN</t>
  </si>
  <si>
    <t>AY</t>
  </si>
  <si>
    <t>YIL</t>
  </si>
  <si>
    <t>YILLAR</t>
  </si>
  <si>
    <t>DÖNEM</t>
  </si>
  <si>
    <t>KİŞİLİK</t>
  </si>
  <si>
    <t>SOSYAL BİLİNÇ</t>
  </si>
  <si>
    <t>KÜRESEL BİLİNÇLİLİK</t>
  </si>
  <si>
    <t>YAŞAM DÖNGÜSÜ</t>
  </si>
  <si>
    <t>DERS</t>
  </si>
  <si>
    <t>İÇSEL BENLİK</t>
  </si>
  <si>
    <t>İÇSEL ÇOCUK</t>
  </si>
  <si>
    <t>İNSANIN PİN KODU</t>
  </si>
  <si>
    <t>NOTLAR</t>
  </si>
  <si>
    <t>Cinsiyet:</t>
  </si>
  <si>
    <t>BİLGİ</t>
  </si>
  <si>
    <t>Analiz Tarihi:</t>
  </si>
  <si>
    <t>Adı Soyadı:</t>
  </si>
  <si>
    <t>RUH DUYGUSU</t>
  </si>
  <si>
    <t>TABLO</t>
  </si>
  <si>
    <t>SEÇİM</t>
  </si>
  <si>
    <t>Dönemi</t>
  </si>
  <si>
    <t>Adı Soyadı</t>
  </si>
  <si>
    <t>Doğum Tarihi</t>
  </si>
  <si>
    <t>Grup Detaylar</t>
  </si>
  <si>
    <t>Çocukluk</t>
  </si>
  <si>
    <t>Ergenlik</t>
  </si>
  <si>
    <t>Bekarlık</t>
  </si>
  <si>
    <t>Yuva Kurma</t>
  </si>
  <si>
    <t>Ruhsallık</t>
  </si>
  <si>
    <t>Aile</t>
  </si>
  <si>
    <t>Başarı</t>
  </si>
  <si>
    <t>Bilgelik</t>
  </si>
  <si>
    <t>…</t>
  </si>
  <si>
    <t>Yetişkinlik</t>
  </si>
  <si>
    <t>Elementler</t>
  </si>
  <si>
    <t>Baskın</t>
  </si>
  <si>
    <t>Edilgen</t>
  </si>
  <si>
    <t>Hava</t>
  </si>
  <si>
    <t>Su</t>
  </si>
  <si>
    <t>Ateş</t>
  </si>
  <si>
    <t>Toprak</t>
  </si>
  <si>
    <t>Dokuz</t>
  </si>
  <si>
    <t>Toplam</t>
  </si>
  <si>
    <t>N/A</t>
  </si>
  <si>
    <t>X</t>
  </si>
  <si>
    <t>x</t>
  </si>
  <si>
    <t>ÖZ (YAŞAM DUYUSU)</t>
  </si>
  <si>
    <t>ÖZ</t>
  </si>
  <si>
    <r>
      <t xml:space="preserve">GRUP PİN KODU </t>
    </r>
    <r>
      <rPr>
        <b/>
        <sz val="11"/>
        <color theme="0"/>
        <rFont val="Calibri"/>
        <family val="2"/>
        <charset val="162"/>
        <scheme val="minor"/>
      </rPr>
      <t>(rev.20160331)</t>
    </r>
  </si>
  <si>
    <r>
      <t xml:space="preserve">PİN KODU TABLOSU </t>
    </r>
    <r>
      <rPr>
        <b/>
        <sz val="10"/>
        <color theme="1"/>
        <rFont val="Calibri"/>
        <family val="2"/>
        <charset val="162"/>
        <scheme val="minor"/>
      </rPr>
      <t>(rev.20160906)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</si>
</sst>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;\-0;;@"/>
    <numFmt numFmtId="166" formatCode="0.0;\-0.0;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b/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8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b/>
      <sz val="10"/>
      <color theme="0"/>
      <name val="Calibri"/>
      <family val="2"/>
      <charset val="162"/>
      <scheme val="minor"/>
    </font>
    <font>
      <sz val="10"/>
      <color theme="0"/>
      <name val="Calibri"/>
      <family val="2"/>
      <charset val="162"/>
      <scheme val="minor"/>
    </font>
    <font>
      <sz val="11"/>
      <color theme="2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A600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</fills>
  <borders count="92">
    <border>
      <left/>
      <right/>
      <top/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/>
      </left>
      <right style="dotted">
        <color theme="3"/>
      </right>
      <top style="hair">
        <color theme="3"/>
      </top>
      <bottom style="hair">
        <color theme="3"/>
      </bottom>
      <diagonal/>
    </border>
    <border>
      <left style="dotted">
        <color theme="3"/>
      </left>
      <right style="thick">
        <color theme="3"/>
      </right>
      <top style="hair">
        <color theme="3"/>
      </top>
      <bottom style="hair">
        <color theme="3"/>
      </bottom>
      <diagonal/>
    </border>
    <border>
      <left style="thick">
        <color theme="3"/>
      </left>
      <right style="dotted">
        <color theme="3"/>
      </right>
      <top style="hair">
        <color theme="3"/>
      </top>
      <bottom style="thick">
        <color theme="3"/>
      </bottom>
      <diagonal/>
    </border>
    <border>
      <left style="dotted">
        <color theme="3"/>
      </left>
      <right style="thick">
        <color theme="3"/>
      </right>
      <top style="hair">
        <color theme="3"/>
      </top>
      <bottom style="thick">
        <color theme="3"/>
      </bottom>
      <diagonal/>
    </border>
    <border>
      <left style="dotted">
        <color theme="3"/>
      </left>
      <right/>
      <top style="hair">
        <color theme="3"/>
      </top>
      <bottom style="hair">
        <color theme="3"/>
      </bottom>
      <diagonal/>
    </border>
    <border>
      <left style="dotted">
        <color theme="3"/>
      </left>
      <right/>
      <top style="hair">
        <color theme="3"/>
      </top>
      <bottom style="thick">
        <color theme="3"/>
      </bottom>
      <diagonal/>
    </border>
    <border>
      <left style="thin">
        <color indexed="64"/>
      </left>
      <right style="dotted">
        <color theme="3"/>
      </right>
      <top style="hair">
        <color theme="3"/>
      </top>
      <bottom style="hair">
        <color theme="3"/>
      </bottom>
      <diagonal/>
    </border>
    <border>
      <left style="thin">
        <color indexed="64"/>
      </left>
      <right style="dotted">
        <color theme="3"/>
      </right>
      <top style="hair">
        <color theme="3"/>
      </top>
      <bottom style="thick">
        <color theme="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thick">
        <color theme="3"/>
      </bottom>
      <diagonal/>
    </border>
    <border>
      <left/>
      <right style="thick">
        <color theme="3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theme="3"/>
      </left>
      <right style="dotted">
        <color theme="3"/>
      </right>
      <top/>
      <bottom style="hair">
        <color theme="3"/>
      </bottom>
      <diagonal/>
    </border>
    <border>
      <left/>
      <right/>
      <top/>
      <bottom style="hair">
        <color theme="3"/>
      </bottom>
      <diagonal/>
    </border>
    <border>
      <left style="thin">
        <color indexed="64"/>
      </left>
      <right style="dotted">
        <color theme="3"/>
      </right>
      <top/>
      <bottom style="hair">
        <color theme="3"/>
      </bottom>
      <diagonal/>
    </border>
    <border>
      <left style="dotted">
        <color theme="3"/>
      </left>
      <right/>
      <top/>
      <bottom style="hair">
        <color theme="3"/>
      </bottom>
      <diagonal/>
    </border>
    <border>
      <left style="dotted">
        <color theme="3"/>
      </left>
      <right style="thick">
        <color theme="3"/>
      </right>
      <top/>
      <bottom style="hair">
        <color theme="3"/>
      </bottom>
      <diagonal/>
    </border>
    <border>
      <left style="thin">
        <color indexed="64"/>
      </left>
      <right style="thin">
        <color indexed="64"/>
      </right>
      <top/>
      <bottom style="thick">
        <color theme="3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/>
      </left>
      <right/>
      <top style="thin">
        <color indexed="64"/>
      </top>
      <bottom/>
      <diagonal/>
    </border>
    <border>
      <left/>
      <right style="thick">
        <color theme="3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3"/>
      </left>
      <right style="thin">
        <color theme="3"/>
      </right>
      <top/>
      <bottom style="thin">
        <color indexed="64"/>
      </bottom>
      <diagonal/>
    </border>
    <border>
      <left style="thin">
        <color theme="3"/>
      </left>
      <right style="thin">
        <color theme="3"/>
      </right>
      <top/>
      <bottom style="thin">
        <color indexed="64"/>
      </bottom>
      <diagonal/>
    </border>
    <border>
      <left style="thin">
        <color theme="3"/>
      </left>
      <right style="thick">
        <color theme="3"/>
      </right>
      <top/>
      <bottom style="thin">
        <color indexed="64"/>
      </bottom>
      <diagonal/>
    </border>
    <border>
      <left style="thin">
        <color theme="3"/>
      </left>
      <right/>
      <top style="thick">
        <color theme="3"/>
      </top>
      <bottom/>
      <diagonal/>
    </border>
    <border>
      <left/>
      <right style="thin">
        <color theme="3"/>
      </right>
      <top style="thick">
        <color theme="3"/>
      </top>
      <bottom/>
      <diagonal/>
    </border>
    <border>
      <left style="thick">
        <color theme="3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theme="3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8" tint="-0.499984740745262"/>
      </left>
      <right style="thin">
        <color indexed="64"/>
      </right>
      <top style="thick">
        <color theme="8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8" tint="-0.499984740745262"/>
      </top>
      <bottom style="thin">
        <color indexed="64"/>
      </bottom>
      <diagonal/>
    </border>
    <border>
      <left style="thin">
        <color indexed="64"/>
      </left>
      <right style="thick">
        <color theme="8" tint="-0.499984740745262"/>
      </right>
      <top style="thick">
        <color theme="8" tint="-0.499984740745262"/>
      </top>
      <bottom style="thin">
        <color indexed="64"/>
      </bottom>
      <diagonal/>
    </border>
    <border>
      <left style="thick">
        <color theme="8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8" tint="-0.499984740745262"/>
      </right>
      <top style="thin">
        <color indexed="64"/>
      </top>
      <bottom style="thin">
        <color indexed="64"/>
      </bottom>
      <diagonal/>
    </border>
    <border>
      <left style="thick">
        <color theme="8" tint="-0.499984740745262"/>
      </left>
      <right style="thin">
        <color indexed="64"/>
      </right>
      <top style="thin">
        <color indexed="64"/>
      </top>
      <bottom style="thick">
        <color theme="8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8" tint="-0.499984740745262"/>
      </bottom>
      <diagonal/>
    </border>
    <border>
      <left/>
      <right/>
      <top style="thin">
        <color indexed="64"/>
      </top>
      <bottom style="thick">
        <color theme="8" tint="-0.499984740745262"/>
      </bottom>
      <diagonal/>
    </border>
    <border>
      <left/>
      <right style="thin">
        <color indexed="64"/>
      </right>
      <top style="thin">
        <color indexed="64"/>
      </top>
      <bottom style="thick">
        <color theme="8" tint="-0.499984740745262"/>
      </bottom>
      <diagonal/>
    </border>
    <border>
      <left/>
      <right style="thick">
        <color theme="8" tint="-0.499984740745262"/>
      </right>
      <top style="thin">
        <color indexed="64"/>
      </top>
      <bottom style="thick">
        <color theme="8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8" tint="-0.499984740745262"/>
      </left>
      <right/>
      <top style="thin">
        <color indexed="64"/>
      </top>
      <bottom style="thin">
        <color indexed="64"/>
      </bottom>
      <diagonal/>
    </border>
    <border>
      <left/>
      <right style="thick">
        <color theme="8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ck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ck">
        <color theme="3"/>
      </bottom>
      <diagonal/>
    </border>
    <border>
      <left style="thin">
        <color indexed="64"/>
      </left>
      <right/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ck">
        <color theme="3"/>
      </bottom>
      <diagonal/>
    </border>
    <border>
      <left/>
      <right style="thin">
        <color theme="3"/>
      </right>
      <top style="thin">
        <color theme="3"/>
      </top>
      <bottom style="thick">
        <color theme="3"/>
      </bottom>
      <diagonal/>
    </border>
    <border>
      <left/>
      <right/>
      <top style="thick">
        <color theme="4"/>
      </top>
      <bottom style="thick">
        <color theme="3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0" fillId="3" borderId="0" xfId="0" applyFill="1" applyProtection="1"/>
    <xf numFmtId="1" fontId="3" fillId="0" borderId="0" xfId="0" applyNumberFormat="1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/>
    <xf numFmtId="0" fontId="0" fillId="3" borderId="0" xfId="0" applyFill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8" xfId="0" applyFont="1" applyBorder="1" applyProtection="1"/>
    <xf numFmtId="0" fontId="5" fillId="0" borderId="9" xfId="0" applyFont="1" applyBorder="1" applyProtection="1"/>
    <xf numFmtId="0" fontId="5" fillId="0" borderId="10" xfId="0" applyFont="1" applyBorder="1" applyProtection="1"/>
    <xf numFmtId="0" fontId="2" fillId="2" borderId="1" xfId="0" applyFont="1" applyFill="1" applyBorder="1" applyAlignment="1" applyProtection="1">
      <alignment horizontal="center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vertical="center"/>
    </xf>
    <xf numFmtId="0" fontId="5" fillId="0" borderId="31" xfId="0" applyFont="1" applyBorder="1" applyAlignment="1" applyProtection="1">
      <alignment horizontal="center" vertical="center"/>
    </xf>
    <xf numFmtId="0" fontId="1" fillId="0" borderId="46" xfId="0" applyFont="1" applyFill="1" applyBorder="1" applyAlignment="1" applyProtection="1">
      <alignment horizontal="center" vertical="center"/>
    </xf>
    <xf numFmtId="0" fontId="1" fillId="0" borderId="47" xfId="0" applyFont="1" applyFill="1" applyBorder="1" applyAlignment="1" applyProtection="1">
      <alignment horizontal="center" vertical="center"/>
    </xf>
    <xf numFmtId="0" fontId="1" fillId="0" borderId="45" xfId="0" applyFont="1" applyFill="1" applyBorder="1" applyAlignment="1" applyProtection="1">
      <alignment horizontal="center" vertical="center"/>
    </xf>
    <xf numFmtId="0" fontId="1" fillId="0" borderId="48" xfId="0" applyFont="1" applyFill="1" applyBorder="1" applyAlignment="1" applyProtection="1">
      <alignment horizontal="center" vertical="center"/>
    </xf>
    <xf numFmtId="0" fontId="1" fillId="0" borderId="22" xfId="0" applyFont="1" applyFill="1" applyBorder="1" applyAlignment="1" applyProtection="1">
      <alignment horizontal="center" vertical="center"/>
    </xf>
    <xf numFmtId="0" fontId="1" fillId="0" borderId="41" xfId="0" applyFont="1" applyFill="1" applyBorder="1" applyAlignment="1" applyProtection="1">
      <alignment horizontal="center" vertical="center"/>
    </xf>
    <xf numFmtId="0" fontId="1" fillId="0" borderId="28" xfId="0" applyFont="1" applyFill="1" applyBorder="1" applyAlignment="1" applyProtection="1">
      <alignment horizontal="center" vertical="center"/>
    </xf>
    <xf numFmtId="0" fontId="1" fillId="0" borderId="26" xfId="0" applyFont="1" applyFill="1" applyBorder="1" applyAlignment="1" applyProtection="1">
      <alignment horizontal="center" vertical="center"/>
    </xf>
    <xf numFmtId="0" fontId="1" fillId="0" borderId="23" xfId="0" applyFont="1" applyFill="1" applyBorder="1" applyAlignment="1" applyProtection="1">
      <alignment horizontal="center" vertical="center"/>
    </xf>
    <xf numFmtId="0" fontId="1" fillId="0" borderId="24" xfId="0" applyFont="1" applyFill="1" applyBorder="1" applyAlignment="1" applyProtection="1">
      <alignment horizontal="center" vertical="center"/>
    </xf>
    <xf numFmtId="0" fontId="1" fillId="0" borderId="42" xfId="0" applyFont="1" applyFill="1" applyBorder="1" applyAlignment="1" applyProtection="1">
      <alignment horizontal="center" vertical="center"/>
    </xf>
    <xf numFmtId="0" fontId="1" fillId="0" borderId="51" xfId="0" applyFont="1" applyFill="1" applyBorder="1" applyAlignment="1" applyProtection="1">
      <alignment horizontal="center" vertical="center"/>
    </xf>
    <xf numFmtId="0" fontId="1" fillId="0" borderId="29" xfId="0" applyFont="1" applyFill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165" fontId="0" fillId="0" borderId="0" xfId="0" applyNumberFormat="1" applyBorder="1" applyAlignment="1" applyProtection="1">
      <alignment horizontal="center" vertical="center"/>
    </xf>
    <xf numFmtId="0" fontId="5" fillId="0" borderId="31" xfId="0" applyFont="1" applyBorder="1" applyAlignment="1" applyProtection="1">
      <alignment vertical="center"/>
    </xf>
    <xf numFmtId="0" fontId="5" fillId="0" borderId="38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0" fillId="0" borderId="0" xfId="0" applyBorder="1" applyProtection="1"/>
    <xf numFmtId="0" fontId="0" fillId="0" borderId="0" xfId="0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38" xfId="0" applyBorder="1" applyProtection="1"/>
    <xf numFmtId="0" fontId="0" fillId="0" borderId="31" xfId="0" applyBorder="1" applyAlignment="1" applyProtection="1">
      <alignment vertical="top"/>
    </xf>
    <xf numFmtId="0" fontId="0" fillId="0" borderId="38" xfId="0" applyBorder="1" applyAlignment="1" applyProtection="1">
      <alignment vertical="top"/>
    </xf>
    <xf numFmtId="0" fontId="0" fillId="0" borderId="33" xfId="0" applyBorder="1" applyProtection="1"/>
    <xf numFmtId="0" fontId="0" fillId="0" borderId="34" xfId="0" applyBorder="1" applyProtection="1"/>
    <xf numFmtId="0" fontId="0" fillId="0" borderId="37" xfId="0" applyBorder="1" applyProtection="1"/>
    <xf numFmtId="0" fontId="5" fillId="0" borderId="3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38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31" xfId="0" applyFont="1" applyFill="1" applyBorder="1" applyAlignment="1" applyProtection="1">
      <alignment vertical="center"/>
    </xf>
    <xf numFmtId="0" fontId="5" fillId="0" borderId="3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vertical="center" wrapText="1"/>
    </xf>
    <xf numFmtId="0" fontId="4" fillId="0" borderId="0" xfId="0" applyFont="1" applyFill="1" applyBorder="1" applyAlignment="1" applyProtection="1">
      <alignment vertical="center" textRotation="90" wrapText="1"/>
    </xf>
    <xf numFmtId="0" fontId="9" fillId="0" borderId="44" xfId="0" applyFont="1" applyFill="1" applyBorder="1" applyAlignment="1" applyProtection="1">
      <alignment horizontal="center" vertical="center"/>
    </xf>
    <xf numFmtId="0" fontId="9" fillId="0" borderId="20" xfId="0" applyFont="1" applyFill="1" applyBorder="1" applyAlignment="1" applyProtection="1">
      <alignment horizontal="center" vertical="center"/>
    </xf>
    <xf numFmtId="0" fontId="9" fillId="0" borderId="52" xfId="0" applyFont="1" applyFill="1" applyBorder="1" applyAlignment="1" applyProtection="1">
      <alignment horizontal="center" vertical="center"/>
    </xf>
    <xf numFmtId="165" fontId="5" fillId="0" borderId="14" xfId="0" applyNumberFormat="1" applyFont="1" applyBorder="1" applyAlignment="1" applyProtection="1">
      <alignment horizontal="center" vertical="center"/>
    </xf>
    <xf numFmtId="0" fontId="4" fillId="2" borderId="58" xfId="0" applyFont="1" applyFill="1" applyBorder="1" applyAlignment="1" applyProtection="1">
      <alignment horizontal="center" vertical="center"/>
    </xf>
    <xf numFmtId="0" fontId="4" fillId="2" borderId="59" xfId="0" applyFont="1" applyFill="1" applyBorder="1" applyAlignment="1" applyProtection="1">
      <alignment horizontal="center" vertical="center"/>
    </xf>
    <xf numFmtId="0" fontId="5" fillId="2" borderId="59" xfId="0" applyFont="1" applyFill="1" applyBorder="1" applyAlignment="1" applyProtection="1">
      <alignment horizontal="center" vertical="center"/>
    </xf>
    <xf numFmtId="0" fontId="4" fillId="2" borderId="60" xfId="0" applyFont="1" applyFill="1" applyBorder="1" applyAlignment="1" applyProtection="1">
      <alignment horizontal="center" vertical="center"/>
    </xf>
    <xf numFmtId="0" fontId="5" fillId="0" borderId="55" xfId="0" applyFont="1" applyBorder="1" applyAlignment="1" applyProtection="1">
      <alignment vertical="center" wrapText="1"/>
    </xf>
    <xf numFmtId="0" fontId="5" fillId="0" borderId="56" xfId="0" applyFont="1" applyBorder="1" applyAlignment="1" applyProtection="1">
      <alignment vertical="top" wrapText="1"/>
    </xf>
    <xf numFmtId="0" fontId="5" fillId="0" borderId="64" xfId="0" applyFont="1" applyBorder="1" applyAlignment="1" applyProtection="1">
      <alignment vertical="top" wrapText="1"/>
    </xf>
    <xf numFmtId="0" fontId="10" fillId="0" borderId="18" xfId="0" applyFont="1" applyBorder="1" applyAlignment="1" applyProtection="1">
      <alignment vertical="center" wrapText="1"/>
    </xf>
    <xf numFmtId="0" fontId="10" fillId="0" borderId="18" xfId="0" applyFont="1" applyBorder="1" applyAlignment="1" applyProtection="1">
      <alignment vertical="center"/>
    </xf>
    <xf numFmtId="165" fontId="10" fillId="0" borderId="18" xfId="0" applyNumberFormat="1" applyFont="1" applyBorder="1" applyAlignment="1" applyProtection="1">
      <alignment horizontal="center" vertical="center"/>
    </xf>
    <xf numFmtId="0" fontId="0" fillId="0" borderId="81" xfId="0" applyBorder="1" applyAlignment="1" applyProtection="1">
      <alignment horizontal="center" vertical="center"/>
      <protection locked="0"/>
    </xf>
    <xf numFmtId="165" fontId="5" fillId="0" borderId="0" xfId="0" applyNumberFormat="1" applyFont="1" applyBorder="1" applyAlignment="1" applyProtection="1">
      <alignment horizontal="center" vertical="center"/>
    </xf>
    <xf numFmtId="165" fontId="2" fillId="0" borderId="14" xfId="0" applyNumberFormat="1" applyFont="1" applyFill="1" applyBorder="1" applyAlignment="1" applyProtection="1">
      <alignment horizontal="center" vertical="center"/>
    </xf>
    <xf numFmtId="0" fontId="10" fillId="0" borderId="20" xfId="0" applyFont="1" applyFill="1" applyBorder="1" applyAlignment="1" applyProtection="1">
      <alignment vertical="center" wrapText="1"/>
    </xf>
    <xf numFmtId="0" fontId="10" fillId="0" borderId="21" xfId="0" applyFont="1" applyFill="1" applyBorder="1" applyAlignment="1" applyProtection="1">
      <alignment vertical="center" wrapText="1"/>
    </xf>
    <xf numFmtId="0" fontId="5" fillId="0" borderId="6" xfId="0" applyFont="1" applyBorder="1" applyProtection="1"/>
    <xf numFmtId="0" fontId="5" fillId="0" borderId="7" xfId="0" applyFont="1" applyBorder="1" applyProtection="1"/>
    <xf numFmtId="1" fontId="8" fillId="0" borderId="0" xfId="0" applyNumberFormat="1" applyFont="1" applyBorder="1" applyAlignment="1" applyProtection="1">
      <alignment vertical="center"/>
    </xf>
    <xf numFmtId="0" fontId="8" fillId="0" borderId="15" xfId="0" applyFont="1" applyBorder="1" applyAlignment="1" applyProtection="1">
      <alignment horizontal="center" vertical="center"/>
    </xf>
    <xf numFmtId="165" fontId="10" fillId="0" borderId="20" xfId="0" applyNumberFormat="1" applyFont="1" applyBorder="1" applyAlignment="1" applyProtection="1">
      <alignment horizontal="center" vertical="center"/>
    </xf>
    <xf numFmtId="165" fontId="0" fillId="0" borderId="20" xfId="0" applyNumberFormat="1" applyBorder="1" applyAlignment="1" applyProtection="1">
      <alignment horizontal="center" vertical="center"/>
    </xf>
    <xf numFmtId="166" fontId="10" fillId="0" borderId="14" xfId="0" applyNumberFormat="1" applyFont="1" applyFill="1" applyBorder="1" applyAlignment="1" applyProtection="1">
      <alignment horizontal="center" vertical="center"/>
    </xf>
    <xf numFmtId="1" fontId="8" fillId="0" borderId="86" xfId="0" applyNumberFormat="1" applyFont="1" applyBorder="1" applyAlignment="1" applyProtection="1">
      <alignment vertical="center"/>
    </xf>
    <xf numFmtId="0" fontId="1" fillId="18" borderId="49" xfId="0" applyFont="1" applyFill="1" applyBorder="1" applyAlignment="1" applyProtection="1">
      <alignment horizontal="center" vertical="center"/>
    </xf>
    <xf numFmtId="0" fontId="1" fillId="18" borderId="50" xfId="0" applyFont="1" applyFill="1" applyBorder="1" applyAlignment="1" applyProtection="1">
      <alignment horizontal="center" vertical="center"/>
    </xf>
    <xf numFmtId="0" fontId="1" fillId="18" borderId="25" xfId="0" applyFont="1" applyFill="1" applyBorder="1" applyAlignment="1" applyProtection="1">
      <alignment horizontal="center" vertical="center"/>
    </xf>
    <xf numFmtId="0" fontId="1" fillId="18" borderId="27" xfId="0" applyFont="1" applyFill="1" applyBorder="1" applyAlignment="1" applyProtection="1">
      <alignment horizontal="center" vertical="center"/>
    </xf>
    <xf numFmtId="0" fontId="1" fillId="18" borderId="42" xfId="0" applyFont="1" applyFill="1" applyBorder="1" applyAlignment="1" applyProtection="1">
      <alignment horizontal="center" vertical="center"/>
    </xf>
    <xf numFmtId="0" fontId="10" fillId="0" borderId="15" xfId="0" applyFont="1" applyBorder="1" applyAlignment="1" applyProtection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</xf>
    <xf numFmtId="0" fontId="10" fillId="0" borderId="16" xfId="0" applyFont="1" applyBorder="1" applyAlignment="1" applyProtection="1">
      <alignment horizontal="center" vertical="center" wrapText="1"/>
    </xf>
    <xf numFmtId="164" fontId="10" fillId="0" borderId="15" xfId="0" applyNumberFormat="1" applyFont="1" applyBorder="1" applyAlignment="1" applyProtection="1">
      <alignment horizontal="center"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16" xfId="0" applyNumberFormat="1" applyFont="1" applyBorder="1" applyAlignment="1" applyProtection="1">
      <alignment horizontal="center" vertical="center"/>
    </xf>
    <xf numFmtId="0" fontId="10" fillId="14" borderId="14" xfId="0" applyFont="1" applyFill="1" applyBorder="1" applyAlignment="1" applyProtection="1">
      <alignment horizontal="center" vertical="center" wrapText="1"/>
    </xf>
    <xf numFmtId="0" fontId="16" fillId="0" borderId="14" xfId="0" applyFont="1" applyFill="1" applyBorder="1" applyAlignment="1" applyProtection="1">
      <alignment horizontal="center" vertical="center" wrapText="1"/>
    </xf>
    <xf numFmtId="0" fontId="4" fillId="15" borderId="15" xfId="0" applyFont="1" applyFill="1" applyBorder="1" applyAlignment="1" applyProtection="1">
      <alignment horizontal="center" vertical="center"/>
    </xf>
    <xf numFmtId="0" fontId="4" fillId="15" borderId="18" xfId="0" applyFont="1" applyFill="1" applyBorder="1" applyAlignment="1" applyProtection="1">
      <alignment horizontal="center" vertical="center"/>
    </xf>
    <xf numFmtId="0" fontId="4" fillId="15" borderId="16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 wrapText="1"/>
    </xf>
    <xf numFmtId="0" fontId="10" fillId="11" borderId="14" xfId="0" applyFont="1" applyFill="1" applyBorder="1" applyAlignment="1" applyProtection="1">
      <alignment horizontal="center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18" fillId="10" borderId="14" xfId="0" applyFont="1" applyFill="1" applyBorder="1" applyAlignment="1" applyProtection="1">
      <alignment horizontal="center" vertical="center" wrapText="1"/>
    </xf>
    <xf numFmtId="0" fontId="10" fillId="8" borderId="14" xfId="0" applyFont="1" applyFill="1" applyBorder="1" applyAlignment="1" applyProtection="1">
      <alignment horizontal="center" vertical="center" wrapText="1"/>
    </xf>
    <xf numFmtId="0" fontId="11" fillId="5" borderId="66" xfId="0" applyFont="1" applyFill="1" applyBorder="1" applyAlignment="1" applyProtection="1">
      <alignment horizontal="center" vertical="center" textRotation="90" wrapText="1"/>
    </xf>
    <xf numFmtId="0" fontId="11" fillId="5" borderId="78" xfId="0" applyFont="1" applyFill="1" applyBorder="1" applyAlignment="1" applyProtection="1">
      <alignment horizontal="center" vertical="center" textRotation="90" wrapText="1"/>
    </xf>
    <xf numFmtId="0" fontId="11" fillId="17" borderId="14" xfId="0" applyFont="1" applyFill="1" applyBorder="1" applyAlignment="1" applyProtection="1">
      <alignment horizontal="center" vertical="center" textRotation="90" wrapText="1"/>
    </xf>
    <xf numFmtId="0" fontId="11" fillId="17" borderId="66" xfId="0" applyFont="1" applyFill="1" applyBorder="1" applyAlignment="1" applyProtection="1">
      <alignment horizontal="center" vertical="center" textRotation="90" wrapText="1"/>
    </xf>
    <xf numFmtId="0" fontId="11" fillId="17" borderId="78" xfId="0" applyFont="1" applyFill="1" applyBorder="1" applyAlignment="1" applyProtection="1">
      <alignment horizontal="center" vertical="center" textRotation="90" wrapText="1"/>
    </xf>
    <xf numFmtId="0" fontId="11" fillId="16" borderId="66" xfId="0" applyFont="1" applyFill="1" applyBorder="1" applyAlignment="1" applyProtection="1">
      <alignment horizontal="center" vertical="center" textRotation="90" wrapText="1"/>
    </xf>
    <xf numFmtId="0" fontId="11" fillId="16" borderId="78" xfId="0" applyFont="1" applyFill="1" applyBorder="1" applyAlignment="1" applyProtection="1">
      <alignment horizontal="center" vertical="center" textRotation="90" wrapText="1"/>
    </xf>
    <xf numFmtId="0" fontId="4" fillId="11" borderId="14" xfId="0" applyFont="1" applyFill="1" applyBorder="1" applyAlignment="1" applyProtection="1">
      <alignment horizontal="center" vertical="center" wrapText="1"/>
    </xf>
    <xf numFmtId="0" fontId="17" fillId="10" borderId="14" xfId="0" applyFont="1" applyFill="1" applyBorder="1" applyAlignment="1" applyProtection="1">
      <alignment horizontal="center" vertical="center" wrapText="1"/>
    </xf>
    <xf numFmtId="0" fontId="17" fillId="9" borderId="14" xfId="0" applyFont="1" applyFill="1" applyBorder="1" applyAlignment="1" applyProtection="1">
      <alignment horizontal="center" vertical="center" wrapText="1"/>
    </xf>
    <xf numFmtId="0" fontId="4" fillId="15" borderId="15" xfId="0" applyFont="1" applyFill="1" applyBorder="1" applyAlignment="1" applyProtection="1">
      <alignment horizontal="center" vertical="center" wrapText="1"/>
    </xf>
    <xf numFmtId="0" fontId="4" fillId="15" borderId="18" xfId="0" applyFont="1" applyFill="1" applyBorder="1" applyAlignment="1" applyProtection="1">
      <alignment horizontal="center" vertical="center" wrapText="1"/>
    </xf>
    <xf numFmtId="0" fontId="4" fillId="15" borderId="16" xfId="0" applyFont="1" applyFill="1" applyBorder="1" applyAlignment="1" applyProtection="1">
      <alignment horizontal="center" vertical="center" wrapText="1"/>
    </xf>
    <xf numFmtId="0" fontId="9" fillId="7" borderId="32" xfId="0" applyFont="1" applyFill="1" applyBorder="1" applyAlignment="1" applyProtection="1">
      <alignment horizontal="center" vertical="center"/>
    </xf>
    <xf numFmtId="0" fontId="9" fillId="7" borderId="19" xfId="0" applyFont="1" applyFill="1" applyBorder="1" applyAlignment="1" applyProtection="1">
      <alignment horizontal="center" vertical="center"/>
    </xf>
    <xf numFmtId="0" fontId="9" fillId="7" borderId="35" xfId="0" applyFont="1" applyFill="1" applyBorder="1" applyAlignment="1" applyProtection="1">
      <alignment horizontal="center" vertic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18" xfId="0" applyFont="1" applyFill="1" applyBorder="1" applyAlignment="1" applyProtection="1">
      <alignment horizontal="center" vertical="center" wrapText="1"/>
    </xf>
    <xf numFmtId="0" fontId="4" fillId="2" borderId="16" xfId="0" applyFont="1" applyFill="1" applyBorder="1" applyAlignment="1" applyProtection="1">
      <alignment horizontal="center" vertical="center" wrapText="1"/>
    </xf>
    <xf numFmtId="0" fontId="4" fillId="2" borderId="15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4" fillId="2" borderId="14" xfId="0" applyFont="1" applyFill="1" applyBorder="1" applyAlignment="1" applyProtection="1">
      <alignment horizontal="center" vertical="center" wrapText="1"/>
    </xf>
    <xf numFmtId="0" fontId="4" fillId="2" borderId="36" xfId="0" applyFont="1" applyFill="1" applyBorder="1" applyAlignment="1" applyProtection="1">
      <alignment horizontal="center" vertical="center" wrapText="1"/>
    </xf>
    <xf numFmtId="0" fontId="7" fillId="0" borderId="53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54" xfId="0" applyFont="1" applyFill="1" applyBorder="1" applyAlignment="1" applyProtection="1">
      <alignment horizontal="center" vertical="center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18" xfId="0" applyFont="1" applyFill="1" applyBorder="1" applyAlignment="1" applyProtection="1">
      <alignment horizontal="center" vertical="center" wrapText="1"/>
    </xf>
    <xf numFmtId="0" fontId="4" fillId="0" borderId="16" xfId="0" applyFont="1" applyFill="1" applyBorder="1" applyAlignment="1" applyProtection="1">
      <alignment horizontal="center" vertical="center" wrapText="1"/>
    </xf>
    <xf numFmtId="0" fontId="4" fillId="8" borderId="14" xfId="0" applyFont="1" applyFill="1" applyBorder="1" applyAlignment="1" applyProtection="1">
      <alignment horizontal="center" vertical="center" wrapText="1"/>
    </xf>
    <xf numFmtId="0" fontId="4" fillId="14" borderId="14" xfId="0" applyFont="1" applyFill="1" applyBorder="1" applyAlignment="1" applyProtection="1">
      <alignment horizontal="center" vertical="center" wrapText="1"/>
    </xf>
    <xf numFmtId="0" fontId="2" fillId="2" borderId="83" xfId="0" applyFont="1" applyFill="1" applyBorder="1" applyAlignment="1" applyProtection="1">
      <alignment horizontal="center" vertical="center"/>
    </xf>
    <xf numFmtId="0" fontId="2" fillId="2" borderId="84" xfId="0" applyFont="1" applyFill="1" applyBorder="1" applyAlignment="1" applyProtection="1">
      <alignment horizontal="center" vertical="center"/>
    </xf>
    <xf numFmtId="1" fontId="5" fillId="0" borderId="0" xfId="0" applyNumberFormat="1" applyFont="1" applyBorder="1" applyAlignment="1" applyProtection="1">
      <alignment horizontal="center"/>
    </xf>
    <xf numFmtId="1" fontId="8" fillId="0" borderId="87" xfId="0" applyNumberFormat="1" applyFont="1" applyBorder="1" applyAlignment="1" applyProtection="1">
      <alignment horizontal="center" vertical="center"/>
    </xf>
    <xf numFmtId="1" fontId="8" fillId="0" borderId="83" xfId="0" applyNumberFormat="1" applyFont="1" applyBorder="1" applyAlignment="1" applyProtection="1">
      <alignment horizontal="center" vertical="center"/>
    </xf>
    <xf numFmtId="1" fontId="8" fillId="0" borderId="88" xfId="0" applyNumberFormat="1" applyFont="1" applyBorder="1" applyAlignment="1" applyProtection="1">
      <alignment horizontal="center" vertical="center"/>
    </xf>
    <xf numFmtId="1" fontId="8" fillId="0" borderId="84" xfId="0" applyNumberFormat="1" applyFont="1" applyBorder="1" applyAlignment="1" applyProtection="1">
      <alignment horizontal="center" vertical="center"/>
    </xf>
    <xf numFmtId="0" fontId="2" fillId="2" borderId="87" xfId="0" applyFont="1" applyFill="1" applyBorder="1" applyAlignment="1" applyProtection="1">
      <alignment horizontal="center" vertical="center"/>
    </xf>
    <xf numFmtId="0" fontId="2" fillId="2" borderId="88" xfId="0" applyFont="1" applyFill="1" applyBorder="1" applyAlignment="1" applyProtection="1">
      <alignment horizontal="center" vertical="center"/>
    </xf>
    <xf numFmtId="1" fontId="8" fillId="0" borderId="83" xfId="0" applyNumberFormat="1" applyFont="1" applyFill="1" applyBorder="1" applyAlignment="1" applyProtection="1">
      <alignment horizontal="center" vertical="center"/>
    </xf>
    <xf numFmtId="1" fontId="8" fillId="0" borderId="88" xfId="0" applyNumberFormat="1" applyFont="1" applyFill="1" applyBorder="1" applyAlignment="1" applyProtection="1">
      <alignment horizontal="center" vertical="center"/>
    </xf>
    <xf numFmtId="0" fontId="5" fillId="0" borderId="67" xfId="0" applyFont="1" applyFill="1" applyBorder="1" applyAlignment="1">
      <alignment horizontal="center"/>
    </xf>
    <xf numFmtId="0" fontId="5" fillId="0" borderId="68" xfId="0" applyFont="1" applyFill="1" applyBorder="1" applyAlignment="1">
      <alignment horizontal="center"/>
    </xf>
    <xf numFmtId="0" fontId="13" fillId="13" borderId="68" xfId="0" applyFont="1" applyFill="1" applyBorder="1" applyAlignment="1">
      <alignment horizontal="center"/>
    </xf>
    <xf numFmtId="0" fontId="2" fillId="2" borderId="82" xfId="0" applyFont="1" applyFill="1" applyBorder="1" applyAlignment="1" applyProtection="1">
      <alignment horizontal="center" vertical="center"/>
    </xf>
    <xf numFmtId="1" fontId="8" fillId="0" borderId="82" xfId="0" applyNumberFormat="1" applyFont="1" applyFill="1" applyBorder="1" applyAlignment="1" applyProtection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71" xfId="0" applyFont="1" applyFill="1" applyBorder="1" applyAlignment="1">
      <alignment horizontal="center" vertical="center"/>
    </xf>
    <xf numFmtId="0" fontId="15" fillId="9" borderId="70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/>
    </xf>
    <xf numFmtId="0" fontId="13" fillId="11" borderId="79" xfId="0" applyFont="1" applyFill="1" applyBorder="1" applyAlignment="1">
      <alignment horizontal="center" vertical="center"/>
    </xf>
    <xf numFmtId="0" fontId="13" fillId="11" borderId="18" xfId="0" applyFont="1" applyFill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11" borderId="80" xfId="0" applyFont="1" applyFill="1" applyBorder="1" applyAlignment="1">
      <alignment horizontal="center" vertical="center"/>
    </xf>
    <xf numFmtId="0" fontId="14" fillId="13" borderId="72" xfId="0" applyFont="1" applyFill="1" applyBorder="1" applyAlignment="1">
      <alignment horizontal="center" vertical="center"/>
    </xf>
    <xf numFmtId="0" fontId="14" fillId="13" borderId="73" xfId="0" applyFont="1" applyFill="1" applyBorder="1" applyAlignment="1">
      <alignment horizontal="center" vertical="center"/>
    </xf>
    <xf numFmtId="0" fontId="14" fillId="13" borderId="74" xfId="0" applyFont="1" applyFill="1" applyBorder="1" applyAlignment="1">
      <alignment horizontal="center" vertical="center"/>
    </xf>
    <xf numFmtId="0" fontId="14" fillId="13" borderId="75" xfId="0" applyFont="1" applyFill="1" applyBorder="1" applyAlignment="1">
      <alignment horizontal="center" vertical="center"/>
    </xf>
    <xf numFmtId="0" fontId="14" fillId="13" borderId="76" xfId="0" applyFont="1" applyFill="1" applyBorder="1" applyAlignment="1">
      <alignment horizontal="center" vertical="center"/>
    </xf>
    <xf numFmtId="0" fontId="14" fillId="13" borderId="77" xfId="0" applyFont="1" applyFill="1" applyBorder="1" applyAlignment="1">
      <alignment horizontal="center" vertical="center"/>
    </xf>
    <xf numFmtId="0" fontId="15" fillId="9" borderId="71" xfId="0" applyFont="1" applyFill="1" applyBorder="1" applyAlignment="1">
      <alignment horizontal="center" vertical="center"/>
    </xf>
    <xf numFmtId="0" fontId="13" fillId="13" borderId="69" xfId="0" applyFont="1" applyFill="1" applyBorder="1" applyAlignment="1">
      <alignment horizontal="center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13" fillId="12" borderId="70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12" borderId="71" xfId="0" applyFont="1" applyFill="1" applyBorder="1" applyAlignment="1">
      <alignment horizontal="center" vertical="center"/>
    </xf>
    <xf numFmtId="0" fontId="13" fillId="14" borderId="70" xfId="0" applyFont="1" applyFill="1" applyBorder="1" applyAlignment="1">
      <alignment horizontal="center" vertical="center"/>
    </xf>
    <xf numFmtId="0" fontId="13" fillId="14" borderId="14" xfId="0" applyFont="1" applyFill="1" applyBorder="1" applyAlignment="1">
      <alignment horizontal="center" vertical="center"/>
    </xf>
    <xf numFmtId="0" fontId="13" fillId="14" borderId="71" xfId="0" applyFont="1" applyFill="1" applyBorder="1" applyAlignment="1">
      <alignment horizontal="center" vertical="center"/>
    </xf>
    <xf numFmtId="0" fontId="15" fillId="10" borderId="70" xfId="0" applyFont="1" applyFill="1" applyBorder="1" applyAlignment="1">
      <alignment horizontal="center" vertical="center"/>
    </xf>
    <xf numFmtId="1" fontId="8" fillId="0" borderId="89" xfId="0" applyNumberFormat="1" applyFont="1" applyBorder="1" applyAlignment="1" applyProtection="1">
      <alignment horizontal="center" vertical="center"/>
    </xf>
    <xf numFmtId="1" fontId="8" fillId="0" borderId="85" xfId="0" applyNumberFormat="1" applyFont="1" applyBorder="1" applyAlignment="1" applyProtection="1">
      <alignment horizontal="center" vertical="center"/>
    </xf>
    <xf numFmtId="1" fontId="8" fillId="0" borderId="90" xfId="0" applyNumberFormat="1" applyFont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 wrapText="1"/>
    </xf>
    <xf numFmtId="0" fontId="2" fillId="6" borderId="4" xfId="0" applyFont="1" applyFill="1" applyBorder="1" applyAlignment="1" applyProtection="1">
      <alignment horizontal="center" vertical="center" wrapText="1"/>
    </xf>
    <xf numFmtId="0" fontId="2" fillId="6" borderId="3" xfId="0" applyFont="1" applyFill="1" applyBorder="1" applyAlignment="1" applyProtection="1">
      <alignment horizontal="center" vertical="center" wrapText="1"/>
    </xf>
    <xf numFmtId="0" fontId="2" fillId="6" borderId="5" xfId="0" applyFont="1" applyFill="1" applyBorder="1" applyAlignment="1" applyProtection="1">
      <alignment horizontal="center" vertical="center" wrapText="1"/>
    </xf>
    <xf numFmtId="0" fontId="6" fillId="2" borderId="11" xfId="0" applyFont="1" applyFill="1" applyBorder="1" applyAlignment="1" applyProtection="1">
      <alignment horizontal="center" vertical="center"/>
    </xf>
    <xf numFmtId="0" fontId="6" fillId="2" borderId="12" xfId="0" applyFont="1" applyFill="1" applyBorder="1" applyAlignment="1" applyProtection="1">
      <alignment horizontal="center" vertical="center"/>
    </xf>
    <xf numFmtId="0" fontId="6" fillId="2" borderId="13" xfId="0" applyFont="1" applyFill="1" applyBorder="1" applyAlignment="1" applyProtection="1">
      <alignment horizontal="center" vertical="center"/>
    </xf>
    <xf numFmtId="1" fontId="8" fillId="0" borderId="40" xfId="0" applyNumberFormat="1" applyFont="1" applyBorder="1" applyAlignment="1" applyProtection="1">
      <alignment horizontal="center" vertical="center"/>
    </xf>
    <xf numFmtId="1" fontId="8" fillId="0" borderId="39" xfId="0" applyNumberFormat="1" applyFont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7" fillId="2" borderId="12" xfId="0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0" fontId="7" fillId="2" borderId="8" xfId="0" applyFont="1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</xf>
    <xf numFmtId="0" fontId="3" fillId="2" borderId="61" xfId="0" applyFont="1" applyFill="1" applyBorder="1" applyAlignment="1" applyProtection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11" xfId="0" applyFont="1" applyFill="1" applyBorder="1" applyAlignment="1" applyProtection="1">
      <alignment horizontal="center" vertical="center"/>
    </xf>
    <xf numFmtId="0" fontId="7" fillId="2" borderId="6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7" xfId="0" applyFont="1" applyFill="1" applyBorder="1" applyAlignment="1" applyProtection="1">
      <alignment horizontal="center" vertical="center"/>
    </xf>
    <xf numFmtId="0" fontId="4" fillId="0" borderId="55" xfId="0" applyFont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  <protection locked="0"/>
    </xf>
    <xf numFmtId="0" fontId="0" fillId="0" borderId="56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horizontal="center" vertical="center" wrapText="1"/>
      <protection locked="0"/>
    </xf>
    <xf numFmtId="0" fontId="4" fillId="0" borderId="65" xfId="0" applyFont="1" applyBorder="1" applyAlignment="1" applyProtection="1">
      <alignment horizontal="center" vertical="center" wrapText="1"/>
    </xf>
    <xf numFmtId="0" fontId="4" fillId="0" borderId="63" xfId="0" applyFont="1" applyBorder="1" applyAlignment="1" applyProtection="1">
      <alignment horizontal="center" vertical="center" wrapText="1"/>
    </xf>
    <xf numFmtId="164" fontId="0" fillId="0" borderId="57" xfId="0" applyNumberFormat="1" applyBorder="1" applyAlignment="1" applyProtection="1">
      <alignment horizontal="center" vertical="center" wrapText="1"/>
      <protection locked="0"/>
    </xf>
    <xf numFmtId="164" fontId="0" fillId="0" borderId="56" xfId="0" applyNumberFormat="1" applyBorder="1" applyAlignment="1" applyProtection="1">
      <alignment horizontal="center" vertical="center" wrapText="1"/>
      <protection locked="0"/>
    </xf>
    <xf numFmtId="164" fontId="0" fillId="0" borderId="17" xfId="0" applyNumberFormat="1" applyBorder="1" applyAlignment="1" applyProtection="1">
      <alignment horizontal="center" vertical="center" wrapText="1"/>
      <protection locked="0"/>
    </xf>
    <xf numFmtId="164" fontId="0" fillId="0" borderId="43" xfId="0" applyNumberFormat="1" applyBorder="1" applyAlignment="1" applyProtection="1">
      <alignment horizontal="center" vertical="center" wrapText="1"/>
      <protection locked="0"/>
    </xf>
    <xf numFmtId="14" fontId="19" fillId="3" borderId="91" xfId="0" applyNumberFormat="1" applyFont="1" applyFill="1" applyBorder="1" applyAlignment="1" applyProtection="1">
      <alignment horizontal="center"/>
    </xf>
    <xf numFmtId="0" fontId="19" fillId="3" borderId="91" xfId="0" applyFont="1" applyFill="1" applyBorder="1" applyAlignment="1" applyProtection="1">
      <alignment horizontal="center"/>
    </xf>
    <xf numFmtId="0" fontId="4" fillId="0" borderId="65" xfId="0" applyFont="1" applyBorder="1" applyAlignment="1" applyProtection="1">
      <alignment horizontal="left" vertical="center" wrapText="1"/>
    </xf>
    <xf numFmtId="0" fontId="4" fillId="0" borderId="63" xfId="0" applyFont="1" applyBorder="1" applyAlignment="1" applyProtection="1">
      <alignment horizontal="left" vertical="center" wrapText="1"/>
    </xf>
  </cellXfs>
  <cellStyles count="1">
    <cellStyle name="Normal" xfId="0" builtinId="0"/>
  </cellStyles>
  <dxfs count="420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theme="0"/>
      </font>
      <fill>
        <patternFill patternType="gray0625"/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002060"/>
      </font>
      <fill>
        <patternFill>
          <bgColor rgb="FF00206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Medium9"/>
  <colors>
    <mruColors>
      <color rgb="FFFFCC66"/>
      <color rgb="FFFF0000"/>
      <color rgb="FFCA6008"/>
      <color rgb="FFB7DEE8"/>
      <color rgb="FFFFFF99"/>
      <color rgb="FF262F13"/>
      <color rgb="FFA4FC68"/>
      <color rgb="FF37C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7" name="Düz Bağlayıcı 6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17" name="Düz Bağlayıcı 16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36" name="Düz Bağlayıcı 35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48" name="Düz Bağlayıcı 47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52" name="Düz Bağlayıcı 51"/>
        <xdr:cNvCxnSpPr/>
      </xdr:nvCxnSpPr>
      <xdr:spPr>
        <a:xfrm>
          <a:off x="400050" y="1743075"/>
          <a:ext cx="866775" cy="581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53" name="Düz Bağlayıcı 52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19" name="Düz Bağlayıcı 18"/>
        <xdr:cNvCxnSpPr/>
      </xdr:nvCxnSpPr>
      <xdr:spPr>
        <a:xfrm>
          <a:off x="392766" y="582706"/>
          <a:ext cx="10646" cy="5760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20" name="Düz Bağlayıcı 19"/>
        <xdr:cNvCxnSpPr/>
      </xdr:nvCxnSpPr>
      <xdr:spPr>
        <a:xfrm flipH="1">
          <a:off x="1020296" y="582706"/>
          <a:ext cx="9526" cy="5760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21" name="Düz Bağlayıcı 20"/>
        <xdr:cNvCxnSpPr/>
      </xdr:nvCxnSpPr>
      <xdr:spPr>
        <a:xfrm>
          <a:off x="1647825" y="582706"/>
          <a:ext cx="0" cy="5760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076325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076325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00300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076325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14475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14475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324971</xdr:colOff>
      <xdr:row>4</xdr:row>
      <xdr:rowOff>15706</xdr:rowOff>
    </xdr:to>
    <xdr:cxnSp macro="">
      <xdr:nvCxnSpPr>
        <xdr:cNvPr id="8" name="Düz Bağlayıcı 7"/>
        <xdr:cNvCxnSpPr/>
      </xdr:nvCxnSpPr>
      <xdr:spPr>
        <a:xfrm>
          <a:off x="390525" y="571500"/>
          <a:ext cx="1064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323851</xdr:colOff>
      <xdr:row>4</xdr:row>
      <xdr:rowOff>15706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6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4</xdr:row>
      <xdr:rowOff>15706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145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AC58"/>
  <sheetViews>
    <sheetView topLeftCell="A16" zoomScale="115" zoomScaleNormal="115" zoomScaleSheetLayoutView="115" workbookViewId="0">
      <selection activeCell="C24" sqref="C24:F24"/>
    </sheetView>
  </sheetViews>
  <sheetFormatPr defaultColWidth="0" defaultRowHeight="15" zeroHeight="1" x14ac:dyDescent="0.25"/>
  <cols>
    <col min="1" max="1" width="1.5703125" style="5" customWidth="1"/>
    <col min="2" max="21" width="4.42578125" style="5" customWidth="1"/>
    <col min="22" max="22" width="1.5703125" style="5" customWidth="1"/>
    <col min="23" max="23" width="4.140625" style="5" customWidth="1"/>
    <col min="24" max="24" width="3.7109375" style="5" customWidth="1"/>
    <col min="25" max="29" width="12.7109375" style="5" hidden="1" customWidth="1"/>
    <col min="30" max="16384" width="9.140625" style="5" hidden="1"/>
  </cols>
  <sheetData>
    <row r="1" spans="2:24" s="39" customFormat="1" ht="7.5" customHeight="1" thickBot="1" x14ac:dyDescent="0.3"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8"/>
      <c r="X1" s="38"/>
    </row>
    <row r="2" spans="2:24" ht="27" customHeight="1" x14ac:dyDescent="0.25">
      <c r="B2" s="119" t="s">
        <v>49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  <c r="V2" s="37"/>
      <c r="W2" s="56"/>
      <c r="X2" s="56"/>
    </row>
    <row r="3" spans="2:24" ht="13.5" customHeight="1" x14ac:dyDescent="0.25"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60"/>
      <c r="V3" s="37"/>
      <c r="W3" s="56"/>
      <c r="X3" s="56"/>
    </row>
    <row r="4" spans="2:24" ht="15" customHeight="1" x14ac:dyDescent="0.25">
      <c r="B4" s="122" t="s">
        <v>5</v>
      </c>
      <c r="C4" s="123"/>
      <c r="D4" s="123"/>
      <c r="E4" s="124"/>
      <c r="F4" s="125" t="s">
        <v>6</v>
      </c>
      <c r="G4" s="123"/>
      <c r="H4" s="123"/>
      <c r="I4" s="124"/>
      <c r="J4" s="125" t="s">
        <v>7</v>
      </c>
      <c r="K4" s="123"/>
      <c r="L4" s="123"/>
      <c r="M4" s="124"/>
      <c r="N4" s="125" t="s">
        <v>8</v>
      </c>
      <c r="O4" s="123"/>
      <c r="P4" s="123"/>
      <c r="Q4" s="124"/>
      <c r="R4" s="125" t="s">
        <v>9</v>
      </c>
      <c r="S4" s="123"/>
      <c r="T4" s="123"/>
      <c r="U4" s="128"/>
      <c r="V4" s="37"/>
      <c r="W4" s="57"/>
      <c r="X4" s="57"/>
    </row>
    <row r="5" spans="2:24" ht="28.5" x14ac:dyDescent="0.25">
      <c r="B5" s="129">
        <f ca="1">SumDigits(SumDigits(SUM(J24:J39)))</f>
        <v>7</v>
      </c>
      <c r="C5" s="126"/>
      <c r="D5" s="126"/>
      <c r="E5" s="126"/>
      <c r="F5" s="126">
        <f ca="1">SumDigits(SumDigits(SUM(K24:K39)))</f>
        <v>7</v>
      </c>
      <c r="G5" s="126"/>
      <c r="H5" s="126"/>
      <c r="I5" s="126"/>
      <c r="J5" s="126">
        <f ca="1">SumDigits(SumDigits(SUM(L24:L39)))</f>
        <v>9</v>
      </c>
      <c r="K5" s="126"/>
      <c r="L5" s="126"/>
      <c r="M5" s="126"/>
      <c r="N5" s="126">
        <f ca="1">SumDigits(SumDigits(SUM(M24:M39)))</f>
        <v>5</v>
      </c>
      <c r="O5" s="126"/>
      <c r="P5" s="126"/>
      <c r="Q5" s="126"/>
      <c r="R5" s="126">
        <f ca="1">SumDigits(SumDigits(SUM(N24:N39)))</f>
        <v>3</v>
      </c>
      <c r="S5" s="126"/>
      <c r="T5" s="130"/>
      <c r="U5" s="131"/>
      <c r="V5" s="37"/>
      <c r="W5" s="57"/>
      <c r="X5" s="57"/>
    </row>
    <row r="6" spans="2:24" s="39" customFormat="1" x14ac:dyDescent="0.25">
      <c r="B6" s="48"/>
      <c r="C6" s="49"/>
      <c r="D6" s="127" t="s">
        <v>10</v>
      </c>
      <c r="E6" s="127"/>
      <c r="F6" s="127"/>
      <c r="G6" s="127"/>
      <c r="H6" s="127" t="s">
        <v>11</v>
      </c>
      <c r="I6" s="127"/>
      <c r="J6" s="127"/>
      <c r="K6" s="127"/>
      <c r="L6" s="49"/>
      <c r="M6" s="49"/>
      <c r="N6" s="49"/>
      <c r="O6" s="49"/>
      <c r="P6" s="49"/>
      <c r="Q6" s="49"/>
      <c r="R6" s="49"/>
      <c r="S6" s="49"/>
      <c r="T6" s="49"/>
      <c r="U6" s="50"/>
      <c r="V6" s="37"/>
      <c r="W6" s="40"/>
      <c r="X6" s="34"/>
    </row>
    <row r="7" spans="2:24" ht="28.5" x14ac:dyDescent="0.25">
      <c r="B7" s="48"/>
      <c r="C7" s="49"/>
      <c r="D7" s="126">
        <f ca="1">SumDigits(SumDigits(SUM(O24:O39)))</f>
        <v>5</v>
      </c>
      <c r="E7" s="126"/>
      <c r="F7" s="126"/>
      <c r="G7" s="126"/>
      <c r="H7" s="126">
        <f ca="1">SumDigits(SumDigits(SUM(P24:P39)))</f>
        <v>7</v>
      </c>
      <c r="I7" s="126"/>
      <c r="J7" s="126"/>
      <c r="K7" s="126"/>
      <c r="L7" s="51"/>
      <c r="M7" s="49"/>
      <c r="N7" s="49"/>
      <c r="O7" s="49"/>
      <c r="P7" s="49"/>
      <c r="Q7" s="49"/>
      <c r="R7" s="49"/>
      <c r="S7" s="49"/>
      <c r="T7" s="49"/>
      <c r="U7" s="50"/>
      <c r="V7" s="41"/>
      <c r="W7" s="40"/>
      <c r="X7" s="34"/>
    </row>
    <row r="8" spans="2:24" x14ac:dyDescent="0.25">
      <c r="B8" s="48"/>
      <c r="C8" s="49"/>
      <c r="D8" s="49"/>
      <c r="E8" s="49"/>
      <c r="F8" s="127" t="s">
        <v>18</v>
      </c>
      <c r="G8" s="127"/>
      <c r="H8" s="127"/>
      <c r="I8" s="127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V8" s="41"/>
      <c r="W8" s="40"/>
      <c r="X8" s="34"/>
    </row>
    <row r="9" spans="2:24" ht="28.5" x14ac:dyDescent="0.25">
      <c r="B9" s="52"/>
      <c r="C9" s="51"/>
      <c r="D9" s="51"/>
      <c r="E9" s="51"/>
      <c r="F9" s="126">
        <f ca="1">SumDigits(SumDigits(SUM(Q24:Q39)))</f>
        <v>3</v>
      </c>
      <c r="G9" s="126"/>
      <c r="H9" s="126"/>
      <c r="I9" s="126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3"/>
      <c r="V9" s="41"/>
      <c r="W9" s="40"/>
      <c r="X9" s="34"/>
    </row>
    <row r="10" spans="2:24" ht="13.5" customHeight="1" x14ac:dyDescent="0.25">
      <c r="B10" s="19"/>
      <c r="C10" s="18"/>
      <c r="D10" s="18"/>
      <c r="E10" s="18"/>
      <c r="F10" s="33"/>
      <c r="G10" s="33"/>
      <c r="H10" s="80"/>
      <c r="I10" s="33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36"/>
      <c r="V10" s="41"/>
      <c r="W10" s="40"/>
      <c r="X10" s="34"/>
    </row>
    <row r="11" spans="2:24" ht="13.5" customHeight="1" x14ac:dyDescent="0.25">
      <c r="B11" s="19"/>
      <c r="C11" s="18"/>
      <c r="D11" s="18"/>
      <c r="E11" s="18"/>
      <c r="F11" s="127" t="s">
        <v>47</v>
      </c>
      <c r="G11" s="127"/>
      <c r="H11" s="127"/>
      <c r="I11" s="127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36"/>
      <c r="V11" s="41"/>
      <c r="W11" s="40"/>
      <c r="X11" s="34"/>
    </row>
    <row r="12" spans="2:24" ht="28.5" x14ac:dyDescent="0.25">
      <c r="B12" s="19"/>
      <c r="C12" s="18"/>
      <c r="D12" s="18"/>
      <c r="E12" s="18"/>
      <c r="F12" s="126">
        <f ca="1">SumDigits(SumDigits(SUM(B5:U5,D7:K7,F9)))</f>
        <v>1</v>
      </c>
      <c r="G12" s="126"/>
      <c r="H12" s="126"/>
      <c r="I12" s="126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36"/>
      <c r="V12" s="41"/>
      <c r="W12" s="40"/>
      <c r="X12" s="34"/>
    </row>
    <row r="13" spans="2:24" ht="13.5" customHeight="1" x14ac:dyDescent="0.25">
      <c r="B13" s="19"/>
      <c r="C13" s="18"/>
      <c r="D13" s="18"/>
      <c r="E13" s="18"/>
      <c r="F13" s="33"/>
      <c r="G13" s="33"/>
      <c r="H13" s="33"/>
      <c r="I13" s="33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36"/>
      <c r="V13" s="41"/>
      <c r="W13" s="40"/>
      <c r="X13" s="34"/>
    </row>
    <row r="14" spans="2:24" ht="13.5" customHeight="1" x14ac:dyDescent="0.25">
      <c r="B14" s="43"/>
      <c r="C14" s="75"/>
      <c r="D14" s="75"/>
      <c r="E14" s="76"/>
      <c r="F14" s="132" t="s">
        <v>35</v>
      </c>
      <c r="G14" s="133"/>
      <c r="H14" s="133"/>
      <c r="I14" s="133"/>
      <c r="J14" s="134"/>
      <c r="K14" s="132" t="s">
        <v>36</v>
      </c>
      <c r="L14" s="133"/>
      <c r="M14" s="133"/>
      <c r="N14" s="133"/>
      <c r="O14" s="134"/>
      <c r="P14" s="103" t="s">
        <v>37</v>
      </c>
      <c r="Q14" s="103"/>
      <c r="R14" s="103"/>
      <c r="S14" s="103"/>
      <c r="T14" s="103"/>
      <c r="U14" s="44"/>
      <c r="V14" s="41"/>
      <c r="W14" s="72"/>
      <c r="X14" s="73"/>
    </row>
    <row r="15" spans="2:24" ht="13.5" customHeight="1" x14ac:dyDescent="0.25">
      <c r="B15" s="43"/>
      <c r="C15" s="113" t="s">
        <v>38</v>
      </c>
      <c r="D15" s="113"/>
      <c r="E15" s="113"/>
      <c r="F15" s="102">
        <f ca="1">SumElementsgGrup(C15)</f>
        <v>10</v>
      </c>
      <c r="G15" s="102"/>
      <c r="H15" s="102"/>
      <c r="I15" s="102"/>
      <c r="J15" s="102"/>
      <c r="K15" s="102">
        <f ca="1">SumStatusGrup($C15,K$14)</f>
        <v>7</v>
      </c>
      <c r="L15" s="102"/>
      <c r="M15" s="102"/>
      <c r="N15" s="102"/>
      <c r="O15" s="102"/>
      <c r="P15" s="102">
        <f ca="1">SumStatusGrup($C15,P$14)</f>
        <v>3</v>
      </c>
      <c r="Q15" s="102"/>
      <c r="R15" s="102"/>
      <c r="S15" s="102"/>
      <c r="T15" s="102"/>
      <c r="U15" s="44"/>
      <c r="V15" s="41"/>
      <c r="W15" s="72"/>
      <c r="X15" s="73"/>
    </row>
    <row r="16" spans="2:24" ht="13.5" customHeight="1" x14ac:dyDescent="0.25">
      <c r="B16" s="43"/>
      <c r="C16" s="114" t="s">
        <v>39</v>
      </c>
      <c r="D16" s="114"/>
      <c r="E16" s="114"/>
      <c r="F16" s="104">
        <f ca="1">SumElementsgGrup(C16)</f>
        <v>3</v>
      </c>
      <c r="G16" s="104"/>
      <c r="H16" s="104"/>
      <c r="I16" s="104"/>
      <c r="J16" s="104"/>
      <c r="K16" s="104" t="s">
        <v>44</v>
      </c>
      <c r="L16" s="104"/>
      <c r="M16" s="104"/>
      <c r="N16" s="104"/>
      <c r="O16" s="104"/>
      <c r="P16" s="104">
        <f ca="1">F16</f>
        <v>3</v>
      </c>
      <c r="Q16" s="104"/>
      <c r="R16" s="104"/>
      <c r="S16" s="104"/>
      <c r="T16" s="104"/>
      <c r="U16" s="44"/>
      <c r="V16" s="41"/>
      <c r="W16" s="72"/>
      <c r="X16" s="73"/>
    </row>
    <row r="17" spans="2:24" ht="13.5" customHeight="1" x14ac:dyDescent="0.25">
      <c r="B17" s="43"/>
      <c r="C17" s="115" t="s">
        <v>40</v>
      </c>
      <c r="D17" s="115"/>
      <c r="E17" s="115"/>
      <c r="F17" s="101">
        <f ca="1">SumElementsgGrup(C17)</f>
        <v>7</v>
      </c>
      <c r="G17" s="101"/>
      <c r="H17" s="101"/>
      <c r="I17" s="101"/>
      <c r="J17" s="101"/>
      <c r="K17" s="101">
        <f ca="1">F17</f>
        <v>7</v>
      </c>
      <c r="L17" s="101"/>
      <c r="M17" s="101"/>
      <c r="N17" s="101"/>
      <c r="O17" s="101"/>
      <c r="P17" s="101" t="s">
        <v>44</v>
      </c>
      <c r="Q17" s="101"/>
      <c r="R17" s="101"/>
      <c r="S17" s="101"/>
      <c r="T17" s="101"/>
      <c r="U17" s="44"/>
      <c r="V17" s="41"/>
      <c r="W17" s="72"/>
      <c r="X17" s="73"/>
    </row>
    <row r="18" spans="2:24" ht="13.5" customHeight="1" x14ac:dyDescent="0.25">
      <c r="B18" s="43"/>
      <c r="C18" s="135" t="s">
        <v>41</v>
      </c>
      <c r="D18" s="135"/>
      <c r="E18" s="135"/>
      <c r="F18" s="105">
        <f ca="1">SumElementsgGrup(C18)</f>
        <v>3</v>
      </c>
      <c r="G18" s="105"/>
      <c r="H18" s="105"/>
      <c r="I18" s="105"/>
      <c r="J18" s="105"/>
      <c r="K18" s="105">
        <f ca="1">SumStatusGrup($C18,K$14)</f>
        <v>0</v>
      </c>
      <c r="L18" s="105"/>
      <c r="M18" s="105"/>
      <c r="N18" s="105"/>
      <c r="O18" s="105"/>
      <c r="P18" s="105">
        <f ca="1">SumStatusGrup($C18,P$14)</f>
        <v>3</v>
      </c>
      <c r="Q18" s="105"/>
      <c r="R18" s="105"/>
      <c r="S18" s="105"/>
      <c r="T18" s="105"/>
      <c r="U18" s="44"/>
      <c r="V18" s="41"/>
      <c r="W18" s="72"/>
      <c r="X18" s="73"/>
    </row>
    <row r="19" spans="2:24" ht="13.5" customHeight="1" x14ac:dyDescent="0.25">
      <c r="B19" s="43"/>
      <c r="C19" s="136" t="s">
        <v>42</v>
      </c>
      <c r="D19" s="136"/>
      <c r="E19" s="136"/>
      <c r="F19" s="96">
        <f ca="1">SumElementsgGrup(C19)</f>
        <v>2</v>
      </c>
      <c r="G19" s="96"/>
      <c r="H19" s="96"/>
      <c r="I19" s="96"/>
      <c r="J19" s="96"/>
      <c r="K19" s="96">
        <f ca="1">F19/2</f>
        <v>1</v>
      </c>
      <c r="L19" s="96"/>
      <c r="M19" s="96"/>
      <c r="N19" s="96"/>
      <c r="O19" s="96"/>
      <c r="P19" s="96">
        <f ca="1">F19/2</f>
        <v>1</v>
      </c>
      <c r="Q19" s="96"/>
      <c r="R19" s="96"/>
      <c r="S19" s="96"/>
      <c r="T19" s="96"/>
      <c r="U19" s="44"/>
      <c r="V19" s="41"/>
      <c r="W19" s="72"/>
      <c r="X19" s="73"/>
    </row>
    <row r="20" spans="2:24" ht="13.5" customHeight="1" x14ac:dyDescent="0.25">
      <c r="B20" s="43"/>
      <c r="C20" s="97" t="s">
        <v>43</v>
      </c>
      <c r="D20" s="97"/>
      <c r="E20" s="97"/>
      <c r="F20" s="97">
        <f ca="1">SUM(F15:F19)</f>
        <v>25</v>
      </c>
      <c r="G20" s="97"/>
      <c r="H20" s="97"/>
      <c r="I20" s="97"/>
      <c r="J20" s="97"/>
      <c r="K20" s="97">
        <f ca="1">SUM(K15:K19)</f>
        <v>15</v>
      </c>
      <c r="L20" s="97"/>
      <c r="M20" s="97"/>
      <c r="N20" s="97"/>
      <c r="O20" s="97"/>
      <c r="P20" s="97">
        <f ca="1">SUM(P15:P19)</f>
        <v>10</v>
      </c>
      <c r="Q20" s="97"/>
      <c r="R20" s="97"/>
      <c r="S20" s="97"/>
      <c r="T20" s="97"/>
      <c r="U20" s="44"/>
      <c r="V20" s="41"/>
      <c r="W20" s="72"/>
      <c r="X20" s="73"/>
    </row>
    <row r="21" spans="2:24" ht="6.75" customHeight="1" x14ac:dyDescent="0.25">
      <c r="B21" s="43"/>
      <c r="C21" s="69"/>
      <c r="D21" s="69"/>
      <c r="E21" s="69"/>
      <c r="F21" s="69"/>
      <c r="G21" s="70"/>
      <c r="H21" s="70"/>
      <c r="I21" s="70"/>
      <c r="J21" s="70"/>
      <c r="K21" s="71"/>
      <c r="L21" s="71"/>
      <c r="M21" s="71"/>
      <c r="N21" s="71"/>
      <c r="O21" s="71"/>
      <c r="P21" s="81"/>
      <c r="Q21" s="81"/>
      <c r="R21" s="82"/>
      <c r="S21" s="39"/>
      <c r="T21" s="39"/>
      <c r="U21" s="44"/>
      <c r="V21" s="41"/>
      <c r="W21" s="72"/>
      <c r="X21" s="73"/>
    </row>
    <row r="22" spans="2:24" ht="19.5" customHeight="1" x14ac:dyDescent="0.25">
      <c r="B22" s="19"/>
      <c r="C22" s="98" t="s">
        <v>24</v>
      </c>
      <c r="D22" s="99"/>
      <c r="E22" s="99"/>
      <c r="F22" s="99"/>
      <c r="G22" s="99"/>
      <c r="H22" s="99"/>
      <c r="I22" s="100"/>
      <c r="J22" s="106" t="s">
        <v>5</v>
      </c>
      <c r="K22" s="106" t="s">
        <v>6</v>
      </c>
      <c r="L22" s="106" t="s">
        <v>7</v>
      </c>
      <c r="M22" s="106" t="s">
        <v>8</v>
      </c>
      <c r="N22" s="106" t="s">
        <v>9</v>
      </c>
      <c r="O22" s="106" t="s">
        <v>10</v>
      </c>
      <c r="P22" s="106" t="s">
        <v>11</v>
      </c>
      <c r="Q22" s="106" t="s">
        <v>18</v>
      </c>
      <c r="R22" s="111" t="s">
        <v>48</v>
      </c>
      <c r="S22" s="109" t="s">
        <v>36</v>
      </c>
      <c r="T22" s="108" t="s">
        <v>37</v>
      </c>
      <c r="U22" s="42"/>
      <c r="V22" s="41"/>
      <c r="W22" s="106" t="s">
        <v>20</v>
      </c>
      <c r="X22" s="106" t="s">
        <v>19</v>
      </c>
    </row>
    <row r="23" spans="2:24" ht="19.5" customHeight="1" x14ac:dyDescent="0.25">
      <c r="B23" s="35"/>
      <c r="C23" s="116" t="s">
        <v>22</v>
      </c>
      <c r="D23" s="117"/>
      <c r="E23" s="117"/>
      <c r="F23" s="118"/>
      <c r="G23" s="98" t="s">
        <v>23</v>
      </c>
      <c r="H23" s="99"/>
      <c r="I23" s="100"/>
      <c r="J23" s="107"/>
      <c r="K23" s="107"/>
      <c r="L23" s="107"/>
      <c r="M23" s="107"/>
      <c r="N23" s="107"/>
      <c r="O23" s="107"/>
      <c r="P23" s="107"/>
      <c r="Q23" s="107"/>
      <c r="R23" s="112"/>
      <c r="S23" s="110"/>
      <c r="T23" s="108"/>
      <c r="U23" s="36"/>
      <c r="V23" s="41"/>
      <c r="W23" s="107"/>
      <c r="X23" s="107"/>
    </row>
    <row r="24" spans="2:24" ht="24.95" customHeight="1" x14ac:dyDescent="0.25">
      <c r="B24" s="43"/>
      <c r="C24" s="90" t="str">
        <f ca="1">IF(W24&lt;&gt;"",IF(INDIRECT("'"&amp;X24&amp;"'!C17",1)&lt;&gt;"",INDIRECT("'"&amp;X24&amp;"'!C17",1),"İSİM YOK"),"")</f>
        <v>İSİM YOK</v>
      </c>
      <c r="D24" s="91"/>
      <c r="E24" s="91"/>
      <c r="F24" s="92"/>
      <c r="G24" s="93">
        <f ca="1">IF(W24&lt;&gt;"",IF(INDIRECT("'"&amp;X24&amp;"'!B15",1)&lt;&gt;"",INDIRECT("'"&amp;X24&amp;"'!B15",1),"-"),"")</f>
        <v>42370</v>
      </c>
      <c r="H24" s="94"/>
      <c r="I24" s="95"/>
      <c r="J24" s="74">
        <f ca="1">IF($W24&lt;&gt;"",IF(IFERROR(INDIRECT("'"&amp;$X24&amp;"'!"&amp;"F19",1),0),INDIRECT("'"&amp;$X24&amp;"'!"&amp;"F19",1),0),0)</f>
        <v>1</v>
      </c>
      <c r="K24" s="74">
        <f ca="1">IF($W24&lt;&gt;"",IF(IFERROR(INDIRECT("'"&amp;$X24&amp;"'!"&amp;"N19",1),0),INDIRECT("'"&amp;$X24&amp;"'!"&amp;"N19",1),0),0)</f>
        <v>1</v>
      </c>
      <c r="L24" s="74">
        <f ca="1">IF($W24&lt;&gt;"",IF(IFERROR(INDIRECT("'"&amp;$X24&amp;"'!"&amp;"V19",1),0),INDIRECT("'"&amp;$X24&amp;"'!"&amp;"V19",1),0),0)</f>
        <v>9</v>
      </c>
      <c r="M24" s="74">
        <f ca="1">IF($W24&lt;&gt;"",IF(IFERROR(INDIRECT("'"&amp;$X24&amp;"'!"&amp;"AD19",1),0),INDIRECT("'"&amp;$X24&amp;"'!"&amp;"AD19",1),0),0)</f>
        <v>2</v>
      </c>
      <c r="N24" s="74">
        <f ca="1">IF($W24&lt;&gt;"",IF(IFERROR(INDIRECT("'"&amp;$X24&amp;"'!"&amp;"AL19",1),0),INDIRECT("'"&amp;$X24&amp;"'!"&amp;"AL19",1),0),0)</f>
        <v>3</v>
      </c>
      <c r="O24" s="74">
        <f ca="1">IF($W24&lt;&gt;"",IF(IFERROR(INDIRECT("'"&amp;$X24&amp;"'!"&amp;"J22",1),0),INDIRECT("'"&amp;$X24&amp;"'!"&amp;"J22",1),0),0)</f>
        <v>2</v>
      </c>
      <c r="P24" s="74">
        <f ca="1">IF($W24&lt;&gt;"",IF(IFERROR(INDIRECT("'"&amp;$X24&amp;"'!"&amp;"R22",1),0),INDIRECT("'"&amp;$X24&amp;"'!"&amp;"R22",1),0),0)</f>
        <v>1</v>
      </c>
      <c r="Q24" s="74">
        <f ca="1">IF($W24&lt;&gt;"",IF(IFERROR(INDIRECT("'"&amp;$X24&amp;"'!"&amp;"N24",1),0),INDIRECT("'"&amp;$X24&amp;"'!"&amp;"N24",1),0),0)</f>
        <v>3</v>
      </c>
      <c r="R24" s="74">
        <f t="shared" ref="R24:R39" ca="1" si="0">SumDigits(SumDigits(SUM(J24:Q24)))</f>
        <v>4</v>
      </c>
      <c r="S24" s="83">
        <f ca="1">SumStatusGrupInv($S$22,ROW($A24))</f>
        <v>1</v>
      </c>
      <c r="T24" s="83">
        <f ca="1">SumStatusGrupInv($S$22,ROW($A24))</f>
        <v>1</v>
      </c>
      <c r="U24" s="44"/>
      <c r="V24" s="41"/>
      <c r="W24" s="55" t="s">
        <v>46</v>
      </c>
      <c r="X24" s="61">
        <v>1</v>
      </c>
    </row>
    <row r="25" spans="2:24" ht="24.95" customHeight="1" x14ac:dyDescent="0.25">
      <c r="B25" s="43"/>
      <c r="C25" s="90" t="str">
        <f t="shared" ref="C25:C39" ca="1" si="1">IF(W25&lt;&gt;"",IF(INDIRECT("'"&amp;X25&amp;"'!C17",1)&lt;&gt;"",INDIRECT("'"&amp;X25&amp;"'!C17",1),"İSİM YOK"),"")</f>
        <v>İSİM YOK</v>
      </c>
      <c r="D25" s="91"/>
      <c r="E25" s="91"/>
      <c r="F25" s="92"/>
      <c r="G25" s="93">
        <f t="shared" ref="G25:G39" ca="1" si="2">IF(W25&lt;&gt;"",IF(INDIRECT("'"&amp;X25&amp;"'!B15",1)&lt;&gt;"",INDIRECT("'"&amp;X25&amp;"'!B15",1),"-"),"")</f>
        <v>42370</v>
      </c>
      <c r="H25" s="94"/>
      <c r="I25" s="95"/>
      <c r="J25" s="74">
        <f t="shared" ref="J25:J39" ca="1" si="3">IF($W25&lt;&gt;"",IF(IFERROR(INDIRECT("'"&amp;$X25&amp;"'!"&amp;"F19",1),0),INDIRECT("'"&amp;$X25&amp;"'!"&amp;"F19",1),0),0)</f>
        <v>1</v>
      </c>
      <c r="K25" s="74">
        <f t="shared" ref="K25:K39" ca="1" si="4">IF($W25&lt;&gt;"",IF(IFERROR(INDIRECT("'"&amp;$X25&amp;"'!"&amp;"N19",1),0),INDIRECT("'"&amp;$X25&amp;"'!"&amp;"N19",1),0),0)</f>
        <v>1</v>
      </c>
      <c r="L25" s="74">
        <f t="shared" ref="L25:L39" ca="1" si="5">IF($W25&lt;&gt;"",IF(IFERROR(INDIRECT("'"&amp;$X25&amp;"'!"&amp;"V19",1),0),INDIRECT("'"&amp;$X25&amp;"'!"&amp;"V19",1),0),0)</f>
        <v>9</v>
      </c>
      <c r="M25" s="74">
        <f t="shared" ref="M25:M39" ca="1" si="6">IF($W25&lt;&gt;"",IF(IFERROR(INDIRECT("'"&amp;$X25&amp;"'!"&amp;"AD19",1),0),INDIRECT("'"&amp;$X25&amp;"'!"&amp;"AD19",1),0),0)</f>
        <v>2</v>
      </c>
      <c r="N25" s="74">
        <f t="shared" ref="N25:N39" ca="1" si="7">IF($W25&lt;&gt;"",IF(IFERROR(INDIRECT("'"&amp;$X25&amp;"'!"&amp;"AL19",1),0),INDIRECT("'"&amp;$X25&amp;"'!"&amp;"AL19",1),0),0)</f>
        <v>3</v>
      </c>
      <c r="O25" s="74">
        <f t="shared" ref="O25:O39" ca="1" si="8">IF($W25&lt;&gt;"",IF(IFERROR(INDIRECT("'"&amp;$X25&amp;"'!"&amp;"J22",1),0),INDIRECT("'"&amp;$X25&amp;"'!"&amp;"J22",1),0),0)</f>
        <v>2</v>
      </c>
      <c r="P25" s="74">
        <f t="shared" ref="P25:P39" ca="1" si="9">IF($W25&lt;&gt;"",IF(IFERROR(INDIRECT("'"&amp;$X25&amp;"'!"&amp;"R22",1),0),INDIRECT("'"&amp;$X25&amp;"'!"&amp;"R22",1),0),0)</f>
        <v>1</v>
      </c>
      <c r="Q25" s="74">
        <f t="shared" ref="Q25:Q39" ca="1" si="10">IF($W25&lt;&gt;"",IF(IFERROR(INDIRECT("'"&amp;$X25&amp;"'!"&amp;"N24",1),0),INDIRECT("'"&amp;$X25&amp;"'!"&amp;"N24",1),0),0)</f>
        <v>3</v>
      </c>
      <c r="R25" s="74">
        <f t="shared" ca="1" si="0"/>
        <v>4</v>
      </c>
      <c r="S25" s="83">
        <f t="shared" ref="S25:T39" ca="1" si="11">SumStatusGrupInv($S$22,ROW($A25))</f>
        <v>0</v>
      </c>
      <c r="T25" s="83">
        <f t="shared" ca="1" si="11"/>
        <v>0</v>
      </c>
      <c r="U25" s="44"/>
      <c r="V25" s="41"/>
      <c r="W25" s="55" t="s">
        <v>45</v>
      </c>
      <c r="X25" s="61">
        <v>2</v>
      </c>
    </row>
    <row r="26" spans="2:24" ht="24.95" customHeight="1" x14ac:dyDescent="0.25">
      <c r="B26" s="43"/>
      <c r="C26" s="90" t="str">
        <f t="shared" ca="1" si="1"/>
        <v>İSİM YOK</v>
      </c>
      <c r="D26" s="91"/>
      <c r="E26" s="91"/>
      <c r="F26" s="92"/>
      <c r="G26" s="93">
        <f t="shared" ca="1" si="2"/>
        <v>42370</v>
      </c>
      <c r="H26" s="94"/>
      <c r="I26" s="95"/>
      <c r="J26" s="74">
        <f t="shared" ca="1" si="3"/>
        <v>1</v>
      </c>
      <c r="K26" s="74">
        <f t="shared" ca="1" si="4"/>
        <v>1</v>
      </c>
      <c r="L26" s="74">
        <f t="shared" ca="1" si="5"/>
        <v>9</v>
      </c>
      <c r="M26" s="74">
        <f t="shared" ca="1" si="6"/>
        <v>2</v>
      </c>
      <c r="N26" s="74">
        <f t="shared" ca="1" si="7"/>
        <v>3</v>
      </c>
      <c r="O26" s="74">
        <f t="shared" ca="1" si="8"/>
        <v>2</v>
      </c>
      <c r="P26" s="74">
        <f t="shared" ca="1" si="9"/>
        <v>1</v>
      </c>
      <c r="Q26" s="74">
        <f t="shared" ca="1" si="10"/>
        <v>3</v>
      </c>
      <c r="R26" s="74">
        <f t="shared" ca="1" si="0"/>
        <v>4</v>
      </c>
      <c r="S26" s="83">
        <f t="shared" ca="1" si="11"/>
        <v>0</v>
      </c>
      <c r="T26" s="83">
        <f t="shared" ca="1" si="11"/>
        <v>0</v>
      </c>
      <c r="U26" s="44"/>
      <c r="V26" s="41"/>
      <c r="W26" s="55" t="s">
        <v>45</v>
      </c>
      <c r="X26" s="61">
        <v>3</v>
      </c>
    </row>
    <row r="27" spans="2:24" ht="24.95" customHeight="1" x14ac:dyDescent="0.25">
      <c r="B27" s="43"/>
      <c r="C27" s="90" t="str">
        <f t="shared" ca="1" si="1"/>
        <v>İSİM YOK</v>
      </c>
      <c r="D27" s="91"/>
      <c r="E27" s="91"/>
      <c r="F27" s="92"/>
      <c r="G27" s="93">
        <f t="shared" ca="1" si="2"/>
        <v>42370</v>
      </c>
      <c r="H27" s="94"/>
      <c r="I27" s="95"/>
      <c r="J27" s="74">
        <f t="shared" ca="1" si="3"/>
        <v>1</v>
      </c>
      <c r="K27" s="74">
        <f t="shared" ca="1" si="4"/>
        <v>1</v>
      </c>
      <c r="L27" s="74">
        <f t="shared" ca="1" si="5"/>
        <v>9</v>
      </c>
      <c r="M27" s="74">
        <f t="shared" ca="1" si="6"/>
        <v>2</v>
      </c>
      <c r="N27" s="74">
        <f t="shared" ca="1" si="7"/>
        <v>3</v>
      </c>
      <c r="O27" s="74">
        <f t="shared" ca="1" si="8"/>
        <v>2</v>
      </c>
      <c r="P27" s="74">
        <f t="shared" ca="1" si="9"/>
        <v>1</v>
      </c>
      <c r="Q27" s="74">
        <f t="shared" ca="1" si="10"/>
        <v>3</v>
      </c>
      <c r="R27" s="74">
        <f t="shared" ca="1" si="0"/>
        <v>4</v>
      </c>
      <c r="S27" s="83">
        <f t="shared" ca="1" si="11"/>
        <v>0</v>
      </c>
      <c r="T27" s="83">
        <f t="shared" ca="1" si="11"/>
        <v>0</v>
      </c>
      <c r="U27" s="44"/>
      <c r="V27" s="41"/>
      <c r="W27" s="55" t="s">
        <v>45</v>
      </c>
      <c r="X27" s="61">
        <v>4</v>
      </c>
    </row>
    <row r="28" spans="2:24" ht="24.95" customHeight="1" x14ac:dyDescent="0.25">
      <c r="B28" s="43"/>
      <c r="C28" s="90" t="str">
        <f t="shared" ca="1" si="1"/>
        <v>İSİM YOK</v>
      </c>
      <c r="D28" s="91"/>
      <c r="E28" s="91"/>
      <c r="F28" s="92"/>
      <c r="G28" s="93">
        <f t="shared" ca="1" si="2"/>
        <v>42370</v>
      </c>
      <c r="H28" s="94"/>
      <c r="I28" s="95"/>
      <c r="J28" s="74">
        <f t="shared" ca="1" si="3"/>
        <v>1</v>
      </c>
      <c r="K28" s="74">
        <f t="shared" ca="1" si="4"/>
        <v>1</v>
      </c>
      <c r="L28" s="74">
        <f t="shared" ca="1" si="5"/>
        <v>9</v>
      </c>
      <c r="M28" s="74">
        <f t="shared" ca="1" si="6"/>
        <v>2</v>
      </c>
      <c r="N28" s="74">
        <f t="shared" ca="1" si="7"/>
        <v>3</v>
      </c>
      <c r="O28" s="74">
        <f t="shared" ca="1" si="8"/>
        <v>2</v>
      </c>
      <c r="P28" s="74">
        <f t="shared" ca="1" si="9"/>
        <v>1</v>
      </c>
      <c r="Q28" s="74">
        <f t="shared" ca="1" si="10"/>
        <v>3</v>
      </c>
      <c r="R28" s="74">
        <f t="shared" ca="1" si="0"/>
        <v>4</v>
      </c>
      <c r="S28" s="83">
        <f t="shared" ca="1" si="11"/>
        <v>0</v>
      </c>
      <c r="T28" s="83">
        <f t="shared" ca="1" si="11"/>
        <v>0</v>
      </c>
      <c r="U28" s="44"/>
      <c r="V28" s="41"/>
      <c r="W28" s="55" t="s">
        <v>45</v>
      </c>
      <c r="X28" s="61">
        <v>5</v>
      </c>
    </row>
    <row r="29" spans="2:24" ht="24.95" customHeight="1" x14ac:dyDescent="0.25">
      <c r="B29" s="43"/>
      <c r="C29" s="90" t="str">
        <f t="shared" ca="1" si="1"/>
        <v>İSİM YOK</v>
      </c>
      <c r="D29" s="91"/>
      <c r="E29" s="91"/>
      <c r="F29" s="92"/>
      <c r="G29" s="93">
        <f t="shared" ca="1" si="2"/>
        <v>42370</v>
      </c>
      <c r="H29" s="94"/>
      <c r="I29" s="95"/>
      <c r="J29" s="74">
        <f t="shared" ca="1" si="3"/>
        <v>1</v>
      </c>
      <c r="K29" s="74">
        <f t="shared" ca="1" si="4"/>
        <v>1</v>
      </c>
      <c r="L29" s="74">
        <f t="shared" ca="1" si="5"/>
        <v>9</v>
      </c>
      <c r="M29" s="74">
        <f t="shared" ca="1" si="6"/>
        <v>2</v>
      </c>
      <c r="N29" s="74">
        <f t="shared" ca="1" si="7"/>
        <v>3</v>
      </c>
      <c r="O29" s="74">
        <f t="shared" ca="1" si="8"/>
        <v>2</v>
      </c>
      <c r="P29" s="74">
        <f t="shared" ca="1" si="9"/>
        <v>1</v>
      </c>
      <c r="Q29" s="74">
        <f t="shared" ca="1" si="10"/>
        <v>3</v>
      </c>
      <c r="R29" s="74">
        <f t="shared" ca="1" si="0"/>
        <v>4</v>
      </c>
      <c r="S29" s="83">
        <f t="shared" ca="1" si="11"/>
        <v>0</v>
      </c>
      <c r="T29" s="83">
        <f t="shared" ca="1" si="11"/>
        <v>0</v>
      </c>
      <c r="U29" s="44"/>
      <c r="V29" s="41"/>
      <c r="W29" s="55" t="s">
        <v>45</v>
      </c>
      <c r="X29" s="61">
        <v>6</v>
      </c>
    </row>
    <row r="30" spans="2:24" ht="24.95" customHeight="1" x14ac:dyDescent="0.25">
      <c r="B30" s="43"/>
      <c r="C30" s="90" t="str">
        <f t="shared" ca="1" si="1"/>
        <v>İSİM YOK</v>
      </c>
      <c r="D30" s="91"/>
      <c r="E30" s="91"/>
      <c r="F30" s="92"/>
      <c r="G30" s="93">
        <f t="shared" ca="1" si="2"/>
        <v>42370</v>
      </c>
      <c r="H30" s="94"/>
      <c r="I30" s="95"/>
      <c r="J30" s="74">
        <f t="shared" ca="1" si="3"/>
        <v>1</v>
      </c>
      <c r="K30" s="74">
        <f t="shared" ca="1" si="4"/>
        <v>1</v>
      </c>
      <c r="L30" s="74">
        <f t="shared" ca="1" si="5"/>
        <v>9</v>
      </c>
      <c r="M30" s="74">
        <f t="shared" ca="1" si="6"/>
        <v>2</v>
      </c>
      <c r="N30" s="74">
        <f t="shared" ca="1" si="7"/>
        <v>3</v>
      </c>
      <c r="O30" s="74">
        <f t="shared" ca="1" si="8"/>
        <v>2</v>
      </c>
      <c r="P30" s="74">
        <f t="shared" ca="1" si="9"/>
        <v>1</v>
      </c>
      <c r="Q30" s="74">
        <f t="shared" ca="1" si="10"/>
        <v>3</v>
      </c>
      <c r="R30" s="74">
        <f t="shared" ca="1" si="0"/>
        <v>4</v>
      </c>
      <c r="S30" s="83">
        <f t="shared" ca="1" si="11"/>
        <v>0</v>
      </c>
      <c r="T30" s="83">
        <f t="shared" ca="1" si="11"/>
        <v>0</v>
      </c>
      <c r="U30" s="44"/>
      <c r="V30" s="41"/>
      <c r="W30" s="55" t="s">
        <v>45</v>
      </c>
      <c r="X30" s="61">
        <v>7</v>
      </c>
    </row>
    <row r="31" spans="2:24" ht="24.95" customHeight="1" x14ac:dyDescent="0.25">
      <c r="B31" s="43"/>
      <c r="C31" s="90" t="str">
        <f t="shared" ca="1" si="1"/>
        <v>İSİM YOK</v>
      </c>
      <c r="D31" s="91"/>
      <c r="E31" s="91"/>
      <c r="F31" s="92"/>
      <c r="G31" s="93">
        <f t="shared" ca="1" si="2"/>
        <v>42370</v>
      </c>
      <c r="H31" s="94"/>
      <c r="I31" s="95"/>
      <c r="J31" s="74">
        <f t="shared" ca="1" si="3"/>
        <v>1</v>
      </c>
      <c r="K31" s="74">
        <f t="shared" ca="1" si="4"/>
        <v>1</v>
      </c>
      <c r="L31" s="74">
        <f t="shared" ca="1" si="5"/>
        <v>9</v>
      </c>
      <c r="M31" s="74">
        <f t="shared" ca="1" si="6"/>
        <v>2</v>
      </c>
      <c r="N31" s="74">
        <f t="shared" ca="1" si="7"/>
        <v>3</v>
      </c>
      <c r="O31" s="74">
        <f t="shared" ca="1" si="8"/>
        <v>2</v>
      </c>
      <c r="P31" s="74">
        <f t="shared" ca="1" si="9"/>
        <v>1</v>
      </c>
      <c r="Q31" s="74">
        <f t="shared" ca="1" si="10"/>
        <v>3</v>
      </c>
      <c r="R31" s="74">
        <f t="shared" ca="1" si="0"/>
        <v>4</v>
      </c>
      <c r="S31" s="83">
        <f t="shared" ca="1" si="11"/>
        <v>0</v>
      </c>
      <c r="T31" s="83">
        <f t="shared" ca="1" si="11"/>
        <v>0</v>
      </c>
      <c r="U31" s="44"/>
      <c r="V31" s="41"/>
      <c r="W31" s="55" t="s">
        <v>45</v>
      </c>
      <c r="X31" s="61">
        <v>8</v>
      </c>
    </row>
    <row r="32" spans="2:24" ht="24.95" customHeight="1" x14ac:dyDescent="0.25">
      <c r="B32" s="43"/>
      <c r="C32" s="90" t="str">
        <f t="shared" ca="1" si="1"/>
        <v>İSİM YOK</v>
      </c>
      <c r="D32" s="91"/>
      <c r="E32" s="91"/>
      <c r="F32" s="92"/>
      <c r="G32" s="93">
        <f t="shared" ca="1" si="2"/>
        <v>42370</v>
      </c>
      <c r="H32" s="94"/>
      <c r="I32" s="95"/>
      <c r="J32" s="74">
        <f t="shared" ca="1" si="3"/>
        <v>1</v>
      </c>
      <c r="K32" s="74">
        <f t="shared" ca="1" si="4"/>
        <v>1</v>
      </c>
      <c r="L32" s="74">
        <f t="shared" ca="1" si="5"/>
        <v>9</v>
      </c>
      <c r="M32" s="74">
        <f t="shared" ca="1" si="6"/>
        <v>2</v>
      </c>
      <c r="N32" s="74">
        <f t="shared" ca="1" si="7"/>
        <v>3</v>
      </c>
      <c r="O32" s="74">
        <f t="shared" ca="1" si="8"/>
        <v>2</v>
      </c>
      <c r="P32" s="74">
        <f t="shared" ca="1" si="9"/>
        <v>1</v>
      </c>
      <c r="Q32" s="74">
        <f t="shared" ca="1" si="10"/>
        <v>3</v>
      </c>
      <c r="R32" s="74">
        <f t="shared" ca="1" si="0"/>
        <v>4</v>
      </c>
      <c r="S32" s="83">
        <f t="shared" ca="1" si="11"/>
        <v>0</v>
      </c>
      <c r="T32" s="83">
        <f t="shared" ca="1" si="11"/>
        <v>0</v>
      </c>
      <c r="U32" s="44"/>
      <c r="V32" s="41"/>
      <c r="W32" s="55" t="s">
        <v>45</v>
      </c>
      <c r="X32" s="61">
        <v>9</v>
      </c>
    </row>
    <row r="33" spans="2:24" ht="24.95" customHeight="1" x14ac:dyDescent="0.25">
      <c r="B33" s="43"/>
      <c r="C33" s="90" t="str">
        <f t="shared" ca="1" si="1"/>
        <v>İSİM YOK</v>
      </c>
      <c r="D33" s="91"/>
      <c r="E33" s="91"/>
      <c r="F33" s="92"/>
      <c r="G33" s="93">
        <f t="shared" ca="1" si="2"/>
        <v>42370</v>
      </c>
      <c r="H33" s="94"/>
      <c r="I33" s="95"/>
      <c r="J33" s="74">
        <f t="shared" ca="1" si="3"/>
        <v>1</v>
      </c>
      <c r="K33" s="74">
        <f t="shared" ca="1" si="4"/>
        <v>1</v>
      </c>
      <c r="L33" s="74">
        <f t="shared" ca="1" si="5"/>
        <v>9</v>
      </c>
      <c r="M33" s="74">
        <f t="shared" ca="1" si="6"/>
        <v>2</v>
      </c>
      <c r="N33" s="74">
        <f t="shared" ca="1" si="7"/>
        <v>3</v>
      </c>
      <c r="O33" s="74">
        <f t="shared" ca="1" si="8"/>
        <v>2</v>
      </c>
      <c r="P33" s="74">
        <f t="shared" ca="1" si="9"/>
        <v>1</v>
      </c>
      <c r="Q33" s="74">
        <f t="shared" ca="1" si="10"/>
        <v>3</v>
      </c>
      <c r="R33" s="74">
        <f t="shared" ca="1" si="0"/>
        <v>4</v>
      </c>
      <c r="S33" s="83">
        <f t="shared" ca="1" si="11"/>
        <v>0</v>
      </c>
      <c r="T33" s="83">
        <f t="shared" ca="1" si="11"/>
        <v>0</v>
      </c>
      <c r="U33" s="44"/>
      <c r="V33" s="41"/>
      <c r="W33" s="55" t="s">
        <v>45</v>
      </c>
      <c r="X33" s="61">
        <v>10</v>
      </c>
    </row>
    <row r="34" spans="2:24" ht="24.95" customHeight="1" x14ac:dyDescent="0.25">
      <c r="B34" s="43"/>
      <c r="C34" s="90" t="str">
        <f t="shared" ca="1" si="1"/>
        <v>İSİM YOK</v>
      </c>
      <c r="D34" s="91"/>
      <c r="E34" s="91"/>
      <c r="F34" s="92"/>
      <c r="G34" s="93">
        <f t="shared" ca="1" si="2"/>
        <v>42370</v>
      </c>
      <c r="H34" s="94"/>
      <c r="I34" s="95"/>
      <c r="J34" s="74">
        <f t="shared" ca="1" si="3"/>
        <v>1</v>
      </c>
      <c r="K34" s="74">
        <f t="shared" ca="1" si="4"/>
        <v>1</v>
      </c>
      <c r="L34" s="74">
        <f t="shared" ca="1" si="5"/>
        <v>9</v>
      </c>
      <c r="M34" s="74">
        <f t="shared" ca="1" si="6"/>
        <v>2</v>
      </c>
      <c r="N34" s="74">
        <f t="shared" ca="1" si="7"/>
        <v>3</v>
      </c>
      <c r="O34" s="74">
        <f t="shared" ca="1" si="8"/>
        <v>2</v>
      </c>
      <c r="P34" s="74">
        <f t="shared" ca="1" si="9"/>
        <v>1</v>
      </c>
      <c r="Q34" s="74">
        <f t="shared" ca="1" si="10"/>
        <v>3</v>
      </c>
      <c r="R34" s="74">
        <f t="shared" ca="1" si="0"/>
        <v>4</v>
      </c>
      <c r="S34" s="83">
        <f t="shared" ca="1" si="11"/>
        <v>0</v>
      </c>
      <c r="T34" s="83">
        <f t="shared" ca="1" si="11"/>
        <v>0</v>
      </c>
      <c r="U34" s="44"/>
      <c r="V34" s="41"/>
      <c r="W34" s="55" t="s">
        <v>45</v>
      </c>
      <c r="X34" s="61">
        <v>11</v>
      </c>
    </row>
    <row r="35" spans="2:24" ht="24.95" customHeight="1" x14ac:dyDescent="0.25">
      <c r="B35" s="43"/>
      <c r="C35" s="90" t="str">
        <f t="shared" ca="1" si="1"/>
        <v>İSİM YOK</v>
      </c>
      <c r="D35" s="91"/>
      <c r="E35" s="91"/>
      <c r="F35" s="92"/>
      <c r="G35" s="93">
        <f t="shared" ca="1" si="2"/>
        <v>42370</v>
      </c>
      <c r="H35" s="94"/>
      <c r="I35" s="95"/>
      <c r="J35" s="74">
        <f t="shared" ca="1" si="3"/>
        <v>1</v>
      </c>
      <c r="K35" s="74">
        <f t="shared" ca="1" si="4"/>
        <v>1</v>
      </c>
      <c r="L35" s="74">
        <f t="shared" ca="1" si="5"/>
        <v>9</v>
      </c>
      <c r="M35" s="74">
        <f t="shared" ca="1" si="6"/>
        <v>2</v>
      </c>
      <c r="N35" s="74">
        <f t="shared" ca="1" si="7"/>
        <v>3</v>
      </c>
      <c r="O35" s="74">
        <f t="shared" ca="1" si="8"/>
        <v>2</v>
      </c>
      <c r="P35" s="74">
        <f t="shared" ca="1" si="9"/>
        <v>1</v>
      </c>
      <c r="Q35" s="74">
        <f t="shared" ca="1" si="10"/>
        <v>3</v>
      </c>
      <c r="R35" s="74">
        <f t="shared" ca="1" si="0"/>
        <v>4</v>
      </c>
      <c r="S35" s="83">
        <f t="shared" ca="1" si="11"/>
        <v>0</v>
      </c>
      <c r="T35" s="83">
        <f t="shared" ca="1" si="11"/>
        <v>0</v>
      </c>
      <c r="U35" s="44"/>
      <c r="V35" s="41"/>
      <c r="W35" s="55" t="s">
        <v>45</v>
      </c>
      <c r="X35" s="61">
        <v>12</v>
      </c>
    </row>
    <row r="36" spans="2:24" ht="24.95" customHeight="1" x14ac:dyDescent="0.25">
      <c r="B36" s="43"/>
      <c r="C36" s="90" t="str">
        <f t="shared" ca="1" si="1"/>
        <v>İSİM YOK</v>
      </c>
      <c r="D36" s="91"/>
      <c r="E36" s="91"/>
      <c r="F36" s="92"/>
      <c r="G36" s="93">
        <f t="shared" ca="1" si="2"/>
        <v>42370</v>
      </c>
      <c r="H36" s="94"/>
      <c r="I36" s="95"/>
      <c r="J36" s="74">
        <f t="shared" ca="1" si="3"/>
        <v>1</v>
      </c>
      <c r="K36" s="74">
        <f t="shared" ca="1" si="4"/>
        <v>1</v>
      </c>
      <c r="L36" s="74">
        <f t="shared" ca="1" si="5"/>
        <v>9</v>
      </c>
      <c r="M36" s="74">
        <f t="shared" ca="1" si="6"/>
        <v>2</v>
      </c>
      <c r="N36" s="74">
        <f t="shared" ca="1" si="7"/>
        <v>3</v>
      </c>
      <c r="O36" s="74">
        <f t="shared" ca="1" si="8"/>
        <v>2</v>
      </c>
      <c r="P36" s="74">
        <f t="shared" ca="1" si="9"/>
        <v>1</v>
      </c>
      <c r="Q36" s="74">
        <f t="shared" ca="1" si="10"/>
        <v>3</v>
      </c>
      <c r="R36" s="74">
        <f t="shared" ca="1" si="0"/>
        <v>4</v>
      </c>
      <c r="S36" s="83">
        <f t="shared" ca="1" si="11"/>
        <v>0</v>
      </c>
      <c r="T36" s="83">
        <f t="shared" ca="1" si="11"/>
        <v>0</v>
      </c>
      <c r="U36" s="44"/>
      <c r="V36" s="41"/>
      <c r="W36" s="55" t="s">
        <v>45</v>
      </c>
      <c r="X36" s="61">
        <v>13</v>
      </c>
    </row>
    <row r="37" spans="2:24" ht="24.95" customHeight="1" x14ac:dyDescent="0.25">
      <c r="B37" s="43"/>
      <c r="C37" s="90" t="str">
        <f t="shared" ca="1" si="1"/>
        <v>İSİM YOK</v>
      </c>
      <c r="D37" s="91"/>
      <c r="E37" s="91"/>
      <c r="F37" s="92"/>
      <c r="G37" s="93">
        <f t="shared" ca="1" si="2"/>
        <v>42370</v>
      </c>
      <c r="H37" s="94"/>
      <c r="I37" s="95"/>
      <c r="J37" s="74">
        <f t="shared" ca="1" si="3"/>
        <v>1</v>
      </c>
      <c r="K37" s="74">
        <f t="shared" ca="1" si="4"/>
        <v>1</v>
      </c>
      <c r="L37" s="74">
        <f t="shared" ca="1" si="5"/>
        <v>9</v>
      </c>
      <c r="M37" s="74">
        <f t="shared" ca="1" si="6"/>
        <v>2</v>
      </c>
      <c r="N37" s="74">
        <f t="shared" ca="1" si="7"/>
        <v>3</v>
      </c>
      <c r="O37" s="74">
        <f t="shared" ca="1" si="8"/>
        <v>2</v>
      </c>
      <c r="P37" s="74">
        <f t="shared" ca="1" si="9"/>
        <v>1</v>
      </c>
      <c r="Q37" s="74">
        <f t="shared" ca="1" si="10"/>
        <v>3</v>
      </c>
      <c r="R37" s="74">
        <f t="shared" ca="1" si="0"/>
        <v>4</v>
      </c>
      <c r="S37" s="83">
        <f t="shared" ca="1" si="11"/>
        <v>0</v>
      </c>
      <c r="T37" s="83">
        <f t="shared" ca="1" si="11"/>
        <v>0</v>
      </c>
      <c r="U37" s="44"/>
      <c r="V37" s="41"/>
      <c r="W37" s="55" t="s">
        <v>45</v>
      </c>
      <c r="X37" s="61">
        <v>14</v>
      </c>
    </row>
    <row r="38" spans="2:24" ht="24.95" customHeight="1" x14ac:dyDescent="0.25">
      <c r="B38" s="43"/>
      <c r="C38" s="90" t="str">
        <f t="shared" ca="1" si="1"/>
        <v>İSİM YOK</v>
      </c>
      <c r="D38" s="91"/>
      <c r="E38" s="91"/>
      <c r="F38" s="92"/>
      <c r="G38" s="93">
        <f t="shared" ca="1" si="2"/>
        <v>42370</v>
      </c>
      <c r="H38" s="94"/>
      <c r="I38" s="95"/>
      <c r="J38" s="74">
        <f t="shared" ca="1" si="3"/>
        <v>1</v>
      </c>
      <c r="K38" s="74">
        <f t="shared" ca="1" si="4"/>
        <v>1</v>
      </c>
      <c r="L38" s="74">
        <f t="shared" ca="1" si="5"/>
        <v>9</v>
      </c>
      <c r="M38" s="74">
        <f t="shared" ca="1" si="6"/>
        <v>2</v>
      </c>
      <c r="N38" s="74">
        <f t="shared" ca="1" si="7"/>
        <v>3</v>
      </c>
      <c r="O38" s="74">
        <f t="shared" ca="1" si="8"/>
        <v>2</v>
      </c>
      <c r="P38" s="74">
        <f t="shared" ca="1" si="9"/>
        <v>1</v>
      </c>
      <c r="Q38" s="74">
        <f t="shared" ca="1" si="10"/>
        <v>3</v>
      </c>
      <c r="R38" s="74">
        <f t="shared" ca="1" si="0"/>
        <v>4</v>
      </c>
      <c r="S38" s="83">
        <f t="shared" ca="1" si="11"/>
        <v>0</v>
      </c>
      <c r="T38" s="83">
        <f t="shared" ca="1" si="11"/>
        <v>0</v>
      </c>
      <c r="U38" s="44"/>
      <c r="V38" s="41"/>
      <c r="W38" s="55" t="s">
        <v>45</v>
      </c>
      <c r="X38" s="61">
        <v>15</v>
      </c>
    </row>
    <row r="39" spans="2:24" ht="24.95" customHeight="1" x14ac:dyDescent="0.25">
      <c r="B39" s="43"/>
      <c r="C39" s="90" t="str">
        <f t="shared" ca="1" si="1"/>
        <v>İSİM YOK</v>
      </c>
      <c r="D39" s="91"/>
      <c r="E39" s="91"/>
      <c r="F39" s="92"/>
      <c r="G39" s="93">
        <f t="shared" ca="1" si="2"/>
        <v>42370</v>
      </c>
      <c r="H39" s="94"/>
      <c r="I39" s="95"/>
      <c r="J39" s="74">
        <f t="shared" ca="1" si="3"/>
        <v>1</v>
      </c>
      <c r="K39" s="74">
        <f t="shared" ca="1" si="4"/>
        <v>1</v>
      </c>
      <c r="L39" s="74">
        <f t="shared" ca="1" si="5"/>
        <v>9</v>
      </c>
      <c r="M39" s="74">
        <f t="shared" ca="1" si="6"/>
        <v>2</v>
      </c>
      <c r="N39" s="74">
        <f t="shared" ca="1" si="7"/>
        <v>3</v>
      </c>
      <c r="O39" s="74">
        <f t="shared" ca="1" si="8"/>
        <v>2</v>
      </c>
      <c r="P39" s="74">
        <f t="shared" ca="1" si="9"/>
        <v>1</v>
      </c>
      <c r="Q39" s="74">
        <f t="shared" ca="1" si="10"/>
        <v>3</v>
      </c>
      <c r="R39" s="74">
        <f t="shared" ca="1" si="0"/>
        <v>4</v>
      </c>
      <c r="S39" s="83">
        <f t="shared" ca="1" si="11"/>
        <v>0</v>
      </c>
      <c r="T39" s="83">
        <f t="shared" ca="1" si="11"/>
        <v>0</v>
      </c>
      <c r="U39" s="44"/>
      <c r="V39" s="41"/>
      <c r="W39" s="55" t="s">
        <v>45</v>
      </c>
      <c r="X39" s="61">
        <v>16</v>
      </c>
    </row>
    <row r="40" spans="2:24" ht="5.25" customHeight="1" thickBot="1" x14ac:dyDescent="0.3">
      <c r="B40" s="45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7"/>
      <c r="W40" s="54"/>
      <c r="X40" s="39"/>
    </row>
    <row r="41" spans="2:24" ht="7.5" customHeight="1" x14ac:dyDescent="0.25"/>
    <row r="42" spans="2:24" ht="25.5" hidden="1" customHeight="1" x14ac:dyDescent="0.25"/>
    <row r="43" spans="2:24" ht="25.5" hidden="1" customHeight="1" x14ac:dyDescent="0.25"/>
    <row r="44" spans="2:24" ht="25.5" hidden="1" customHeight="1" x14ac:dyDescent="0.25"/>
    <row r="45" spans="2:24" ht="25.5" hidden="1" customHeight="1" x14ac:dyDescent="0.25"/>
    <row r="46" spans="2:24" ht="25.5" hidden="1" customHeight="1" x14ac:dyDescent="0.25"/>
    <row r="47" spans="2:24" ht="25.5" hidden="1" customHeight="1" x14ac:dyDescent="0.25"/>
    <row r="48" spans="2:24" ht="25.5" hidden="1" customHeight="1" x14ac:dyDescent="0.25"/>
    <row r="49" ht="25.5" hidden="1" customHeight="1" x14ac:dyDescent="0.25"/>
    <row r="50" ht="25.5" hidden="1" customHeight="1" x14ac:dyDescent="0.25"/>
    <row r="51" ht="25.5" hidden="1" customHeight="1" x14ac:dyDescent="0.25"/>
    <row r="52" ht="25.5" hidden="1" customHeight="1" x14ac:dyDescent="0.25"/>
    <row r="53" ht="25.5" hidden="1" customHeight="1" x14ac:dyDescent="0.25"/>
    <row r="54" ht="25.5" hidden="1" customHeight="1" x14ac:dyDescent="0.25"/>
    <row r="55" ht="25.5" hidden="1" customHeight="1" x14ac:dyDescent="0.25"/>
    <row r="56" ht="25.5" hidden="1" customHeight="1" x14ac:dyDescent="0.25"/>
    <row r="57" ht="25.5" hidden="1" customHeight="1" x14ac:dyDescent="0.25"/>
    <row r="58" x14ac:dyDescent="0.25"/>
  </sheetData>
  <sheetProtection algorithmName="SHA-512" hashValue="BXLc2XwxSryZjHhUVWizrV9HixkLrkvgxzqoOyTY+LsN+O22V3pT+v+Fs93I5C7l9Av3DNMVznNHGisQR0/ltA==" saltValue="XUe1b9V7Fu7+V+20y4NTvQ==" spinCount="100000" sheet="1" objects="1" scenarios="1"/>
  <mergeCells count="94">
    <mergeCell ref="C29:F29"/>
    <mergeCell ref="G29:I29"/>
    <mergeCell ref="C26:F26"/>
    <mergeCell ref="G26:I26"/>
    <mergeCell ref="C27:F27"/>
    <mergeCell ref="G27:I27"/>
    <mergeCell ref="C28:F28"/>
    <mergeCell ref="G28:I28"/>
    <mergeCell ref="F5:I5"/>
    <mergeCell ref="C18:E18"/>
    <mergeCell ref="C19:E19"/>
    <mergeCell ref="C20:E20"/>
    <mergeCell ref="F15:J15"/>
    <mergeCell ref="F14:J14"/>
    <mergeCell ref="F11:I11"/>
    <mergeCell ref="F12:I12"/>
    <mergeCell ref="K14:O14"/>
    <mergeCell ref="F18:J18"/>
    <mergeCell ref="K18:O18"/>
    <mergeCell ref="F19:J19"/>
    <mergeCell ref="K19:O19"/>
    <mergeCell ref="F16:J16"/>
    <mergeCell ref="K16:O16"/>
    <mergeCell ref="B2:U2"/>
    <mergeCell ref="B4:E4"/>
    <mergeCell ref="F4:I4"/>
    <mergeCell ref="J4:M4"/>
    <mergeCell ref="F9:I9"/>
    <mergeCell ref="D6:G6"/>
    <mergeCell ref="H6:K6"/>
    <mergeCell ref="D7:G7"/>
    <mergeCell ref="H7:K7"/>
    <mergeCell ref="F8:I8"/>
    <mergeCell ref="N4:Q4"/>
    <mergeCell ref="R4:U4"/>
    <mergeCell ref="B5:E5"/>
    <mergeCell ref="J5:M5"/>
    <mergeCell ref="N5:Q5"/>
    <mergeCell ref="R5:U5"/>
    <mergeCell ref="C24:F24"/>
    <mergeCell ref="G24:I24"/>
    <mergeCell ref="C25:F25"/>
    <mergeCell ref="G25:I25"/>
    <mergeCell ref="C15:E15"/>
    <mergeCell ref="C16:E16"/>
    <mergeCell ref="C17:E17"/>
    <mergeCell ref="F17:J17"/>
    <mergeCell ref="C23:F23"/>
    <mergeCell ref="X22:X23"/>
    <mergeCell ref="T22:T23"/>
    <mergeCell ref="Q22:Q23"/>
    <mergeCell ref="F20:J20"/>
    <mergeCell ref="W22:W23"/>
    <mergeCell ref="K22:K23"/>
    <mergeCell ref="L22:L23"/>
    <mergeCell ref="M22:M23"/>
    <mergeCell ref="N22:N23"/>
    <mergeCell ref="O22:O23"/>
    <mergeCell ref="P22:P23"/>
    <mergeCell ref="S22:S23"/>
    <mergeCell ref="K20:O20"/>
    <mergeCell ref="R22:R23"/>
    <mergeCell ref="C22:I22"/>
    <mergeCell ref="J22:J23"/>
    <mergeCell ref="P14:T14"/>
    <mergeCell ref="P15:T15"/>
    <mergeCell ref="P16:T16"/>
    <mergeCell ref="P17:T17"/>
    <mergeCell ref="P18:T18"/>
    <mergeCell ref="P19:T19"/>
    <mergeCell ref="P20:T20"/>
    <mergeCell ref="G23:I23"/>
    <mergeCell ref="K17:O17"/>
    <mergeCell ref="K15:O15"/>
    <mergeCell ref="C30:F30"/>
    <mergeCell ref="G30:I30"/>
    <mergeCell ref="C31:F31"/>
    <mergeCell ref="G31:I31"/>
    <mergeCell ref="C32:F32"/>
    <mergeCell ref="G32:I32"/>
    <mergeCell ref="C33:F33"/>
    <mergeCell ref="G33:I33"/>
    <mergeCell ref="C34:F34"/>
    <mergeCell ref="G34:I34"/>
    <mergeCell ref="C35:F35"/>
    <mergeCell ref="G35:I35"/>
    <mergeCell ref="C38:F38"/>
    <mergeCell ref="G38:I38"/>
    <mergeCell ref="C39:F39"/>
    <mergeCell ref="G39:I39"/>
    <mergeCell ref="C36:F36"/>
    <mergeCell ref="G36:I36"/>
    <mergeCell ref="C37:F37"/>
    <mergeCell ref="G37:I37"/>
  </mergeCells>
  <conditionalFormatting sqref="B4:U9 J24:Q24 J25:R38">
    <cfRule type="cellIs" dxfId="419" priority="55" operator="equal">
      <formula>9</formula>
    </cfRule>
    <cfRule type="cellIs" dxfId="418" priority="56" operator="equal">
      <formula>8</formula>
    </cfRule>
    <cfRule type="cellIs" dxfId="417" priority="57" operator="equal">
      <formula>4</formula>
    </cfRule>
    <cfRule type="cellIs" dxfId="416" priority="58" operator="equal">
      <formula>6</formula>
    </cfRule>
    <cfRule type="cellIs" dxfId="415" priority="59" operator="equal">
      <formula>3</formula>
    </cfRule>
    <cfRule type="cellIs" dxfId="414" priority="60" operator="equal">
      <formula>7</formula>
    </cfRule>
    <cfRule type="cellIs" dxfId="413" priority="61" operator="equal">
      <formula>2</formula>
    </cfRule>
    <cfRule type="cellIs" dxfId="412" priority="62" operator="equal">
      <formula>5</formula>
    </cfRule>
    <cfRule type="cellIs" dxfId="411" priority="63" operator="equal">
      <formula>1</formula>
    </cfRule>
  </conditionalFormatting>
  <conditionalFormatting sqref="F11:I12">
    <cfRule type="cellIs" dxfId="410" priority="37" operator="equal">
      <formula>9</formula>
    </cfRule>
    <cfRule type="cellIs" dxfId="409" priority="38" operator="equal">
      <formula>8</formula>
    </cfRule>
    <cfRule type="cellIs" dxfId="408" priority="39" operator="equal">
      <formula>4</formula>
    </cfRule>
    <cfRule type="cellIs" dxfId="407" priority="40" operator="equal">
      <formula>6</formula>
    </cfRule>
    <cfRule type="cellIs" dxfId="406" priority="41" operator="equal">
      <formula>3</formula>
    </cfRule>
    <cfRule type="cellIs" dxfId="405" priority="42" operator="equal">
      <formula>7</formula>
    </cfRule>
    <cfRule type="cellIs" dxfId="404" priority="43" operator="equal">
      <formula>2</formula>
    </cfRule>
    <cfRule type="cellIs" dxfId="403" priority="44" operator="equal">
      <formula>5</formula>
    </cfRule>
    <cfRule type="cellIs" dxfId="402" priority="45" operator="equal">
      <formula>1</formula>
    </cfRule>
  </conditionalFormatting>
  <conditionalFormatting sqref="R24">
    <cfRule type="cellIs" dxfId="401" priority="28" operator="equal">
      <formula>9</formula>
    </cfRule>
    <cfRule type="cellIs" dxfId="400" priority="29" operator="equal">
      <formula>8</formula>
    </cfRule>
    <cfRule type="cellIs" dxfId="399" priority="30" operator="equal">
      <formula>4</formula>
    </cfRule>
    <cfRule type="cellIs" dxfId="398" priority="31" operator="equal">
      <formula>6</formula>
    </cfRule>
    <cfRule type="cellIs" dxfId="397" priority="32" operator="equal">
      <formula>3</formula>
    </cfRule>
    <cfRule type="cellIs" dxfId="396" priority="33" operator="equal">
      <formula>7</formula>
    </cfRule>
    <cfRule type="cellIs" dxfId="395" priority="34" operator="equal">
      <formula>2</formula>
    </cfRule>
    <cfRule type="cellIs" dxfId="394" priority="35" operator="equal">
      <formula>5</formula>
    </cfRule>
    <cfRule type="cellIs" dxfId="393" priority="36" operator="equal">
      <formula>1</formula>
    </cfRule>
  </conditionalFormatting>
  <conditionalFormatting sqref="J39:R39">
    <cfRule type="cellIs" dxfId="392" priority="1" operator="equal">
      <formula>9</formula>
    </cfRule>
    <cfRule type="cellIs" dxfId="391" priority="2" operator="equal">
      <formula>8</formula>
    </cfRule>
    <cfRule type="cellIs" dxfId="390" priority="3" operator="equal">
      <formula>4</formula>
    </cfRule>
    <cfRule type="cellIs" dxfId="389" priority="4" operator="equal">
      <formula>6</formula>
    </cfRule>
    <cfRule type="cellIs" dxfId="388" priority="5" operator="equal">
      <formula>3</formula>
    </cfRule>
    <cfRule type="cellIs" dxfId="387" priority="6" operator="equal">
      <formula>7</formula>
    </cfRule>
    <cfRule type="cellIs" dxfId="386" priority="7" operator="equal">
      <formula>2</formula>
    </cfRule>
    <cfRule type="cellIs" dxfId="385" priority="8" operator="equal">
      <formula>5</formula>
    </cfRule>
    <cfRule type="cellIs" dxfId="384" priority="9" operator="equal">
      <formula>1</formula>
    </cfRule>
  </conditionalFormatting>
  <pageMargins left="0.23622047244094491" right="0.23622047244094491" top="0.39370078740157483" bottom="0.39370078740157483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XEY36"/>
  <sheetViews>
    <sheetView showGridLines="0" tabSelected="1" zoomScale="85" zoomScaleNormal="85" zoomScaleSheetLayoutView="100" workbookViewId="0">
      <selection activeCell="B24" sqref="B24:I35"/>
    </sheetView>
  </sheetViews>
  <sheetFormatPr defaultColWidth="0" defaultRowHeight="15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B19:B20"/>
    <mergeCell ref="C19:D20"/>
    <mergeCell ref="B21:B22"/>
    <mergeCell ref="C21:D22"/>
    <mergeCell ref="B15:D15"/>
    <mergeCell ref="B17:B18"/>
    <mergeCell ref="C17:D18"/>
    <mergeCell ref="B13:B14"/>
    <mergeCell ref="D13:D14"/>
    <mergeCell ref="B16:D16"/>
    <mergeCell ref="C13:C14"/>
    <mergeCell ref="F2:AS3"/>
    <mergeCell ref="AP4:AS4"/>
    <mergeCell ref="AL4:AO4"/>
    <mergeCell ref="AH4:AK4"/>
    <mergeCell ref="AD4:AG4"/>
    <mergeCell ref="F4:I4"/>
    <mergeCell ref="Z4:AC4"/>
    <mergeCell ref="V4:Y4"/>
    <mergeCell ref="R4:U4"/>
    <mergeCell ref="N4:Q4"/>
    <mergeCell ref="J4:M4"/>
    <mergeCell ref="F16:AS17"/>
    <mergeCell ref="AH29:AS29"/>
    <mergeCell ref="B24:D35"/>
    <mergeCell ref="F33:I33"/>
    <mergeCell ref="J33:U33"/>
    <mergeCell ref="V33:AG33"/>
    <mergeCell ref="AH33:AS33"/>
    <mergeCell ref="F34:I34"/>
    <mergeCell ref="J34:U34"/>
    <mergeCell ref="V34:AG34"/>
    <mergeCell ref="AH34:AS34"/>
    <mergeCell ref="F31:I31"/>
    <mergeCell ref="J31:U31"/>
    <mergeCell ref="V31:AG31"/>
    <mergeCell ref="N27:U27"/>
    <mergeCell ref="N26:U26"/>
    <mergeCell ref="F35:I35"/>
    <mergeCell ref="J35:U35"/>
    <mergeCell ref="V35:AG35"/>
    <mergeCell ref="AH35:AS35"/>
    <mergeCell ref="AH32:AS32"/>
    <mergeCell ref="AH31:AS31"/>
    <mergeCell ref="F32:I32"/>
    <mergeCell ref="J32:U32"/>
    <mergeCell ref="V32:AG32"/>
    <mergeCell ref="F30:I30"/>
    <mergeCell ref="J30:U30"/>
    <mergeCell ref="V30:AG30"/>
    <mergeCell ref="AH30:AS30"/>
    <mergeCell ref="F29:I29"/>
    <mergeCell ref="J29:U29"/>
    <mergeCell ref="F18:M18"/>
    <mergeCell ref="N18:U18"/>
    <mergeCell ref="V18:AC18"/>
    <mergeCell ref="F19:M20"/>
    <mergeCell ref="V29:AG29"/>
    <mergeCell ref="AD18:AK18"/>
    <mergeCell ref="AL18:AS18"/>
    <mergeCell ref="AH22:AO22"/>
    <mergeCell ref="N24:U24"/>
    <mergeCell ref="V19:AC20"/>
    <mergeCell ref="N19:U20"/>
    <mergeCell ref="AL19:AS20"/>
    <mergeCell ref="AD19:AK20"/>
    <mergeCell ref="N23:U23"/>
    <mergeCell ref="R22:Y22"/>
    <mergeCell ref="J22:Q22"/>
    <mergeCell ref="R21:Y21"/>
    <mergeCell ref="J21:Q21"/>
  </mergeCells>
  <conditionalFormatting sqref="F6:AS14">
    <cfRule type="cellIs" dxfId="365" priority="19" operator="equal">
      <formula>YEAR(TODAY())</formula>
    </cfRule>
    <cfRule type="cellIs" dxfId="364" priority="22" operator="equal">
      <formula>"T"</formula>
    </cfRule>
    <cfRule type="cellIs" dxfId="363" priority="23" operator="equal">
      <formula>"A"</formula>
    </cfRule>
    <cfRule type="cellIs" dxfId="362" priority="24" operator="equal">
      <formula>"S"</formula>
    </cfRule>
    <cfRule type="cellIs" dxfId="361" priority="25" operator="equal">
      <formula>"H"</formula>
    </cfRule>
    <cfRule type="cellIs" dxfId="360" priority="26" operator="equal">
      <formula>"X"</formula>
    </cfRule>
  </conditionalFormatting>
  <conditionalFormatting sqref="F19:AS27 F18 N18 V18 AD18 AL18">
    <cfRule type="cellIs" dxfId="383" priority="10" operator="equal">
      <formula>9</formula>
    </cfRule>
    <cfRule type="cellIs" dxfId="382" priority="11" operator="equal">
      <formula>8</formula>
    </cfRule>
    <cfRule type="cellIs" dxfId="381" priority="12" operator="equal">
      <formula>4</formula>
    </cfRule>
    <cfRule type="cellIs" dxfId="380" priority="13" operator="equal">
      <formula>6</formula>
    </cfRule>
    <cfRule type="cellIs" dxfId="379" priority="14" operator="equal">
      <formula>3</formula>
    </cfRule>
    <cfRule type="cellIs" dxfId="378" priority="15" operator="equal">
      <formula>7</formula>
    </cfRule>
    <cfRule type="cellIs" dxfId="377" priority="16" operator="equal">
      <formula>2</formula>
    </cfRule>
    <cfRule type="cellIs" dxfId="376" priority="17" operator="equal">
      <formula>5</formula>
    </cfRule>
    <cfRule type="cellIs" dxfId="375" priority="18" operator="equal">
      <formula>1</formula>
    </cfRule>
  </conditionalFormatting>
  <conditionalFormatting sqref="C13:C14">
    <cfRule type="cellIs" dxfId="374" priority="1" operator="equal">
      <formula>9</formula>
    </cfRule>
    <cfRule type="cellIs" dxfId="373" priority="2" operator="equal">
      <formula>8</formula>
    </cfRule>
    <cfRule type="cellIs" dxfId="372" priority="3" operator="equal">
      <formula>4</formula>
    </cfRule>
    <cfRule type="cellIs" dxfId="371" priority="4" operator="equal">
      <formula>6</formula>
    </cfRule>
    <cfRule type="cellIs" dxfId="370" priority="5" operator="equal">
      <formula>3</formula>
    </cfRule>
    <cfRule type="cellIs" dxfId="369" priority="6" operator="equal">
      <formula>7</formula>
    </cfRule>
    <cfRule type="cellIs" dxfId="368" priority="7" operator="equal">
      <formula>2</formula>
    </cfRule>
    <cfRule type="cellIs" dxfId="367" priority="8" operator="equal">
      <formula>5</formula>
    </cfRule>
    <cfRule type="cellIs" dxfId="366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ignoredErrors>
    <ignoredError sqref="M7:M14 Q7:Q14 U7:U14 AC7:AC14 AG7:AG14 AK7:AK14 AO7:AO14 AS7:AS14 I7:I14 N7:N14 R7:R14 Z7:Z14 AD7:AD14 AH7:AH14 AL7:AL14 AP7:AP14 J7:J14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359" priority="19" operator="equal">
      <formula>YEAR(TODAY())</formula>
    </cfRule>
    <cfRule type="cellIs" dxfId="358" priority="20" operator="equal">
      <formula>"T"</formula>
    </cfRule>
    <cfRule type="cellIs" dxfId="357" priority="21" operator="equal">
      <formula>"A"</formula>
    </cfRule>
    <cfRule type="cellIs" dxfId="356" priority="22" operator="equal">
      <formula>"S"</formula>
    </cfRule>
    <cfRule type="cellIs" dxfId="355" priority="23" operator="equal">
      <formula>"H"</formula>
    </cfRule>
    <cfRule type="cellIs" dxfId="354" priority="24" operator="equal">
      <formula>"X"</formula>
    </cfRule>
  </conditionalFormatting>
  <conditionalFormatting sqref="F19:AS27 F18 N18 V18 AD18 AL18">
    <cfRule type="cellIs" dxfId="353" priority="10" operator="equal">
      <formula>9</formula>
    </cfRule>
    <cfRule type="cellIs" dxfId="352" priority="11" operator="equal">
      <formula>8</formula>
    </cfRule>
    <cfRule type="cellIs" dxfId="351" priority="12" operator="equal">
      <formula>4</formula>
    </cfRule>
    <cfRule type="cellIs" dxfId="350" priority="13" operator="equal">
      <formula>6</formula>
    </cfRule>
    <cfRule type="cellIs" dxfId="349" priority="14" operator="equal">
      <formula>3</formula>
    </cfRule>
    <cfRule type="cellIs" dxfId="348" priority="15" operator="equal">
      <formula>7</formula>
    </cfRule>
    <cfRule type="cellIs" dxfId="347" priority="16" operator="equal">
      <formula>2</formula>
    </cfRule>
    <cfRule type="cellIs" dxfId="346" priority="17" operator="equal">
      <formula>5</formula>
    </cfRule>
    <cfRule type="cellIs" dxfId="345" priority="18" operator="equal">
      <formula>1</formula>
    </cfRule>
  </conditionalFormatting>
  <conditionalFormatting sqref="C13:C14">
    <cfRule type="cellIs" dxfId="344" priority="1" operator="equal">
      <formula>9</formula>
    </cfRule>
    <cfRule type="cellIs" dxfId="343" priority="2" operator="equal">
      <formula>8</formula>
    </cfRule>
    <cfRule type="cellIs" dxfId="342" priority="3" operator="equal">
      <formula>4</formula>
    </cfRule>
    <cfRule type="cellIs" dxfId="341" priority="4" operator="equal">
      <formula>6</formula>
    </cfRule>
    <cfRule type="cellIs" dxfId="340" priority="5" operator="equal">
      <formula>3</formula>
    </cfRule>
    <cfRule type="cellIs" dxfId="339" priority="6" operator="equal">
      <formula>7</formula>
    </cfRule>
    <cfRule type="cellIs" dxfId="338" priority="7" operator="equal">
      <formula>2</formula>
    </cfRule>
    <cfRule type="cellIs" dxfId="337" priority="8" operator="equal">
      <formula>5</formula>
    </cfRule>
    <cfRule type="cellIs" dxfId="336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335" priority="19" operator="equal">
      <formula>YEAR(TODAY())</formula>
    </cfRule>
    <cfRule type="cellIs" dxfId="334" priority="20" operator="equal">
      <formula>"T"</formula>
    </cfRule>
    <cfRule type="cellIs" dxfId="333" priority="21" operator="equal">
      <formula>"A"</formula>
    </cfRule>
    <cfRule type="cellIs" dxfId="332" priority="22" operator="equal">
      <formula>"S"</formula>
    </cfRule>
    <cfRule type="cellIs" dxfId="331" priority="23" operator="equal">
      <formula>"H"</formula>
    </cfRule>
    <cfRule type="cellIs" dxfId="330" priority="24" operator="equal">
      <formula>"X"</formula>
    </cfRule>
  </conditionalFormatting>
  <conditionalFormatting sqref="F19:AS27 F18 N18 V18 AD18 AL18">
    <cfRule type="cellIs" dxfId="329" priority="10" operator="equal">
      <formula>9</formula>
    </cfRule>
    <cfRule type="cellIs" dxfId="328" priority="11" operator="equal">
      <formula>8</formula>
    </cfRule>
    <cfRule type="cellIs" dxfId="327" priority="12" operator="equal">
      <formula>4</formula>
    </cfRule>
    <cfRule type="cellIs" dxfId="326" priority="13" operator="equal">
      <formula>6</formula>
    </cfRule>
    <cfRule type="cellIs" dxfId="325" priority="14" operator="equal">
      <formula>3</formula>
    </cfRule>
    <cfRule type="cellIs" dxfId="324" priority="15" operator="equal">
      <formula>7</formula>
    </cfRule>
    <cfRule type="cellIs" dxfId="323" priority="16" operator="equal">
      <formula>2</formula>
    </cfRule>
    <cfRule type="cellIs" dxfId="322" priority="17" operator="equal">
      <formula>5</formula>
    </cfRule>
    <cfRule type="cellIs" dxfId="321" priority="18" operator="equal">
      <formula>1</formula>
    </cfRule>
  </conditionalFormatting>
  <conditionalFormatting sqref="C13:C14">
    <cfRule type="cellIs" dxfId="320" priority="1" operator="equal">
      <formula>9</formula>
    </cfRule>
    <cfRule type="cellIs" dxfId="319" priority="2" operator="equal">
      <formula>8</formula>
    </cfRule>
    <cfRule type="cellIs" dxfId="318" priority="3" operator="equal">
      <formula>4</formula>
    </cfRule>
    <cfRule type="cellIs" dxfId="317" priority="4" operator="equal">
      <formula>6</formula>
    </cfRule>
    <cfRule type="cellIs" dxfId="316" priority="5" operator="equal">
      <formula>3</formula>
    </cfRule>
    <cfRule type="cellIs" dxfId="315" priority="6" operator="equal">
      <formula>7</formula>
    </cfRule>
    <cfRule type="cellIs" dxfId="314" priority="7" operator="equal">
      <formula>2</formula>
    </cfRule>
    <cfRule type="cellIs" dxfId="313" priority="8" operator="equal">
      <formula>5</formula>
    </cfRule>
    <cfRule type="cellIs" dxfId="312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311" priority="19" operator="equal">
      <formula>YEAR(TODAY())</formula>
    </cfRule>
    <cfRule type="cellIs" dxfId="310" priority="20" operator="equal">
      <formula>"T"</formula>
    </cfRule>
    <cfRule type="cellIs" dxfId="309" priority="21" operator="equal">
      <formula>"A"</formula>
    </cfRule>
    <cfRule type="cellIs" dxfId="308" priority="22" operator="equal">
      <formula>"S"</formula>
    </cfRule>
    <cfRule type="cellIs" dxfId="307" priority="23" operator="equal">
      <formula>"H"</formula>
    </cfRule>
    <cfRule type="cellIs" dxfId="306" priority="24" operator="equal">
      <formula>"X"</formula>
    </cfRule>
  </conditionalFormatting>
  <conditionalFormatting sqref="F19:AS27 F18 N18 V18 AD18 AL18">
    <cfRule type="cellIs" dxfId="305" priority="10" operator="equal">
      <formula>9</formula>
    </cfRule>
    <cfRule type="cellIs" dxfId="304" priority="11" operator="equal">
      <formula>8</formula>
    </cfRule>
    <cfRule type="cellIs" dxfId="303" priority="12" operator="equal">
      <formula>4</formula>
    </cfRule>
    <cfRule type="cellIs" dxfId="302" priority="13" operator="equal">
      <formula>6</formula>
    </cfRule>
    <cfRule type="cellIs" dxfId="301" priority="14" operator="equal">
      <formula>3</formula>
    </cfRule>
    <cfRule type="cellIs" dxfId="300" priority="15" operator="equal">
      <formula>7</formula>
    </cfRule>
    <cfRule type="cellIs" dxfId="299" priority="16" operator="equal">
      <formula>2</formula>
    </cfRule>
    <cfRule type="cellIs" dxfId="298" priority="17" operator="equal">
      <formula>5</formula>
    </cfRule>
    <cfRule type="cellIs" dxfId="297" priority="18" operator="equal">
      <formula>1</formula>
    </cfRule>
  </conditionalFormatting>
  <conditionalFormatting sqref="C13:C14">
    <cfRule type="cellIs" dxfId="296" priority="1" operator="equal">
      <formula>9</formula>
    </cfRule>
    <cfRule type="cellIs" dxfId="295" priority="2" operator="equal">
      <formula>8</formula>
    </cfRule>
    <cfRule type="cellIs" dxfId="294" priority="3" operator="equal">
      <formula>4</formula>
    </cfRule>
    <cfRule type="cellIs" dxfId="293" priority="4" operator="equal">
      <formula>6</formula>
    </cfRule>
    <cfRule type="cellIs" dxfId="292" priority="5" operator="equal">
      <formula>3</formula>
    </cfRule>
    <cfRule type="cellIs" dxfId="291" priority="6" operator="equal">
      <formula>7</formula>
    </cfRule>
    <cfRule type="cellIs" dxfId="290" priority="7" operator="equal">
      <formula>2</formula>
    </cfRule>
    <cfRule type="cellIs" dxfId="289" priority="8" operator="equal">
      <formula>5</formula>
    </cfRule>
    <cfRule type="cellIs" dxfId="288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287" priority="19" operator="equal">
      <formula>YEAR(TODAY())</formula>
    </cfRule>
    <cfRule type="cellIs" dxfId="286" priority="20" operator="equal">
      <formula>"T"</formula>
    </cfRule>
    <cfRule type="cellIs" dxfId="285" priority="21" operator="equal">
      <formula>"A"</formula>
    </cfRule>
    <cfRule type="cellIs" dxfId="284" priority="22" operator="equal">
      <formula>"S"</formula>
    </cfRule>
    <cfRule type="cellIs" dxfId="283" priority="23" operator="equal">
      <formula>"H"</formula>
    </cfRule>
    <cfRule type="cellIs" dxfId="282" priority="24" operator="equal">
      <formula>"X"</formula>
    </cfRule>
  </conditionalFormatting>
  <conditionalFormatting sqref="F19:AS27 F18 N18 V18 AD18 AL18">
    <cfRule type="cellIs" dxfId="281" priority="10" operator="equal">
      <formula>9</formula>
    </cfRule>
    <cfRule type="cellIs" dxfId="280" priority="11" operator="equal">
      <formula>8</formula>
    </cfRule>
    <cfRule type="cellIs" dxfId="279" priority="12" operator="equal">
      <formula>4</formula>
    </cfRule>
    <cfRule type="cellIs" dxfId="278" priority="13" operator="equal">
      <formula>6</formula>
    </cfRule>
    <cfRule type="cellIs" dxfId="277" priority="14" operator="equal">
      <formula>3</formula>
    </cfRule>
    <cfRule type="cellIs" dxfId="276" priority="15" operator="equal">
      <formula>7</formula>
    </cfRule>
    <cfRule type="cellIs" dxfId="275" priority="16" operator="equal">
      <formula>2</formula>
    </cfRule>
    <cfRule type="cellIs" dxfId="274" priority="17" operator="equal">
      <formula>5</formula>
    </cfRule>
    <cfRule type="cellIs" dxfId="273" priority="18" operator="equal">
      <formula>1</formula>
    </cfRule>
  </conditionalFormatting>
  <conditionalFormatting sqref="C13:C14">
    <cfRule type="cellIs" dxfId="272" priority="1" operator="equal">
      <formula>9</formula>
    </cfRule>
    <cfRule type="cellIs" dxfId="271" priority="2" operator="equal">
      <formula>8</formula>
    </cfRule>
    <cfRule type="cellIs" dxfId="270" priority="3" operator="equal">
      <formula>4</formula>
    </cfRule>
    <cfRule type="cellIs" dxfId="269" priority="4" operator="equal">
      <formula>6</formula>
    </cfRule>
    <cfRule type="cellIs" dxfId="268" priority="5" operator="equal">
      <formula>3</formula>
    </cfRule>
    <cfRule type="cellIs" dxfId="267" priority="6" operator="equal">
      <formula>7</formula>
    </cfRule>
    <cfRule type="cellIs" dxfId="266" priority="7" operator="equal">
      <formula>2</formula>
    </cfRule>
    <cfRule type="cellIs" dxfId="265" priority="8" operator="equal">
      <formula>5</formula>
    </cfRule>
    <cfRule type="cellIs" dxfId="264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263" priority="19" operator="equal">
      <formula>YEAR(TODAY())</formula>
    </cfRule>
    <cfRule type="cellIs" dxfId="262" priority="20" operator="equal">
      <formula>"T"</formula>
    </cfRule>
    <cfRule type="cellIs" dxfId="261" priority="21" operator="equal">
      <formula>"A"</formula>
    </cfRule>
    <cfRule type="cellIs" dxfId="260" priority="22" operator="equal">
      <formula>"S"</formula>
    </cfRule>
    <cfRule type="cellIs" dxfId="259" priority="23" operator="equal">
      <formula>"H"</formula>
    </cfRule>
    <cfRule type="cellIs" dxfId="258" priority="24" operator="equal">
      <formula>"X"</formula>
    </cfRule>
  </conditionalFormatting>
  <conditionalFormatting sqref="F19:AS27 F18 N18 V18 AD18 AL18">
    <cfRule type="cellIs" dxfId="257" priority="10" operator="equal">
      <formula>9</formula>
    </cfRule>
    <cfRule type="cellIs" dxfId="256" priority="11" operator="equal">
      <formula>8</formula>
    </cfRule>
    <cfRule type="cellIs" dxfId="255" priority="12" operator="equal">
      <formula>4</formula>
    </cfRule>
    <cfRule type="cellIs" dxfId="254" priority="13" operator="equal">
      <formula>6</formula>
    </cfRule>
    <cfRule type="cellIs" dxfId="253" priority="14" operator="equal">
      <formula>3</formula>
    </cfRule>
    <cfRule type="cellIs" dxfId="252" priority="15" operator="equal">
      <formula>7</formula>
    </cfRule>
    <cfRule type="cellIs" dxfId="251" priority="16" operator="equal">
      <formula>2</formula>
    </cfRule>
    <cfRule type="cellIs" dxfId="250" priority="17" operator="equal">
      <formula>5</formula>
    </cfRule>
    <cfRule type="cellIs" dxfId="249" priority="18" operator="equal">
      <formula>1</formula>
    </cfRule>
  </conditionalFormatting>
  <conditionalFormatting sqref="C13:C14">
    <cfRule type="cellIs" dxfId="248" priority="1" operator="equal">
      <formula>9</formula>
    </cfRule>
    <cfRule type="cellIs" dxfId="247" priority="2" operator="equal">
      <formula>8</formula>
    </cfRule>
    <cfRule type="cellIs" dxfId="246" priority="3" operator="equal">
      <formula>4</formula>
    </cfRule>
    <cfRule type="cellIs" dxfId="245" priority="4" operator="equal">
      <formula>6</formula>
    </cfRule>
    <cfRule type="cellIs" dxfId="244" priority="5" operator="equal">
      <formula>3</formula>
    </cfRule>
    <cfRule type="cellIs" dxfId="243" priority="6" operator="equal">
      <formula>7</formula>
    </cfRule>
    <cfRule type="cellIs" dxfId="242" priority="7" operator="equal">
      <formula>2</formula>
    </cfRule>
    <cfRule type="cellIs" dxfId="241" priority="8" operator="equal">
      <formula>5</formula>
    </cfRule>
    <cfRule type="cellIs" dxfId="240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239" priority="19" operator="equal">
      <formula>YEAR(TODAY())</formula>
    </cfRule>
    <cfRule type="cellIs" dxfId="238" priority="20" operator="equal">
      <formula>"T"</formula>
    </cfRule>
    <cfRule type="cellIs" dxfId="237" priority="21" operator="equal">
      <formula>"A"</formula>
    </cfRule>
    <cfRule type="cellIs" dxfId="236" priority="22" operator="equal">
      <formula>"S"</formula>
    </cfRule>
    <cfRule type="cellIs" dxfId="235" priority="23" operator="equal">
      <formula>"H"</formula>
    </cfRule>
    <cfRule type="cellIs" dxfId="234" priority="24" operator="equal">
      <formula>"X"</formula>
    </cfRule>
  </conditionalFormatting>
  <conditionalFormatting sqref="F19:AS27 F18 N18 V18 AD18 AL18">
    <cfRule type="cellIs" dxfId="233" priority="10" operator="equal">
      <formula>9</formula>
    </cfRule>
    <cfRule type="cellIs" dxfId="232" priority="11" operator="equal">
      <formula>8</formula>
    </cfRule>
    <cfRule type="cellIs" dxfId="231" priority="12" operator="equal">
      <formula>4</formula>
    </cfRule>
    <cfRule type="cellIs" dxfId="230" priority="13" operator="equal">
      <formula>6</formula>
    </cfRule>
    <cfRule type="cellIs" dxfId="229" priority="14" operator="equal">
      <formula>3</formula>
    </cfRule>
    <cfRule type="cellIs" dxfId="228" priority="15" operator="equal">
      <formula>7</formula>
    </cfRule>
    <cfRule type="cellIs" dxfId="227" priority="16" operator="equal">
      <formula>2</formula>
    </cfRule>
    <cfRule type="cellIs" dxfId="226" priority="17" operator="equal">
      <formula>5</formula>
    </cfRule>
    <cfRule type="cellIs" dxfId="225" priority="18" operator="equal">
      <formula>1</formula>
    </cfRule>
  </conditionalFormatting>
  <conditionalFormatting sqref="C13:C14">
    <cfRule type="cellIs" dxfId="224" priority="1" operator="equal">
      <formula>9</formula>
    </cfRule>
    <cfRule type="cellIs" dxfId="223" priority="2" operator="equal">
      <formula>8</formula>
    </cfRule>
    <cfRule type="cellIs" dxfId="222" priority="3" operator="equal">
      <formula>4</formula>
    </cfRule>
    <cfRule type="cellIs" dxfId="221" priority="4" operator="equal">
      <formula>6</formula>
    </cfRule>
    <cfRule type="cellIs" dxfId="220" priority="5" operator="equal">
      <formula>3</formula>
    </cfRule>
    <cfRule type="cellIs" dxfId="219" priority="6" operator="equal">
      <formula>7</formula>
    </cfRule>
    <cfRule type="cellIs" dxfId="218" priority="7" operator="equal">
      <formula>2</formula>
    </cfRule>
    <cfRule type="cellIs" dxfId="217" priority="8" operator="equal">
      <formula>5</formula>
    </cfRule>
    <cfRule type="cellIs" dxfId="216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215" priority="19" operator="equal">
      <formula>YEAR(TODAY())</formula>
    </cfRule>
    <cfRule type="cellIs" dxfId="214" priority="20" operator="equal">
      <formula>"T"</formula>
    </cfRule>
    <cfRule type="cellIs" dxfId="213" priority="21" operator="equal">
      <formula>"A"</formula>
    </cfRule>
    <cfRule type="cellIs" dxfId="212" priority="22" operator="equal">
      <formula>"S"</formula>
    </cfRule>
    <cfRule type="cellIs" dxfId="211" priority="23" operator="equal">
      <formula>"H"</formula>
    </cfRule>
    <cfRule type="cellIs" dxfId="210" priority="24" operator="equal">
      <formula>"X"</formula>
    </cfRule>
  </conditionalFormatting>
  <conditionalFormatting sqref="F19:AS27 F18 N18 V18 AD18 AL18">
    <cfRule type="cellIs" dxfId="209" priority="10" operator="equal">
      <formula>9</formula>
    </cfRule>
    <cfRule type="cellIs" dxfId="208" priority="11" operator="equal">
      <formula>8</formula>
    </cfRule>
    <cfRule type="cellIs" dxfId="207" priority="12" operator="equal">
      <formula>4</formula>
    </cfRule>
    <cfRule type="cellIs" dxfId="206" priority="13" operator="equal">
      <formula>6</formula>
    </cfRule>
    <cfRule type="cellIs" dxfId="205" priority="14" operator="equal">
      <formula>3</formula>
    </cfRule>
    <cfRule type="cellIs" dxfId="204" priority="15" operator="equal">
      <formula>7</formula>
    </cfRule>
    <cfRule type="cellIs" dxfId="203" priority="16" operator="equal">
      <formula>2</formula>
    </cfRule>
    <cfRule type="cellIs" dxfId="202" priority="17" operator="equal">
      <formula>5</formula>
    </cfRule>
    <cfRule type="cellIs" dxfId="201" priority="18" operator="equal">
      <formula>1</formula>
    </cfRule>
  </conditionalFormatting>
  <conditionalFormatting sqref="C13:C14">
    <cfRule type="cellIs" dxfId="200" priority="1" operator="equal">
      <formula>9</formula>
    </cfRule>
    <cfRule type="cellIs" dxfId="199" priority="2" operator="equal">
      <formula>8</formula>
    </cfRule>
    <cfRule type="cellIs" dxfId="198" priority="3" operator="equal">
      <formula>4</formula>
    </cfRule>
    <cfRule type="cellIs" dxfId="197" priority="4" operator="equal">
      <formula>6</formula>
    </cfRule>
    <cfRule type="cellIs" dxfId="196" priority="5" operator="equal">
      <formula>3</formula>
    </cfRule>
    <cfRule type="cellIs" dxfId="195" priority="6" operator="equal">
      <formula>7</formula>
    </cfRule>
    <cfRule type="cellIs" dxfId="194" priority="7" operator="equal">
      <formula>2</formula>
    </cfRule>
    <cfRule type="cellIs" dxfId="193" priority="8" operator="equal">
      <formula>5</formula>
    </cfRule>
    <cfRule type="cellIs" dxfId="192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191" priority="19" operator="equal">
      <formula>YEAR(TODAY())</formula>
    </cfRule>
    <cfRule type="cellIs" dxfId="190" priority="20" operator="equal">
      <formula>"T"</formula>
    </cfRule>
    <cfRule type="cellIs" dxfId="189" priority="21" operator="equal">
      <formula>"A"</formula>
    </cfRule>
    <cfRule type="cellIs" dxfId="188" priority="22" operator="equal">
      <formula>"S"</formula>
    </cfRule>
    <cfRule type="cellIs" dxfId="187" priority="23" operator="equal">
      <formula>"H"</formula>
    </cfRule>
    <cfRule type="cellIs" dxfId="186" priority="24" operator="equal">
      <formula>"X"</formula>
    </cfRule>
  </conditionalFormatting>
  <conditionalFormatting sqref="F19:AS27 F18 N18 V18 AD18 AL18">
    <cfRule type="cellIs" dxfId="185" priority="10" operator="equal">
      <formula>9</formula>
    </cfRule>
    <cfRule type="cellIs" dxfId="184" priority="11" operator="equal">
      <formula>8</formula>
    </cfRule>
    <cfRule type="cellIs" dxfId="183" priority="12" operator="equal">
      <formula>4</formula>
    </cfRule>
    <cfRule type="cellIs" dxfId="182" priority="13" operator="equal">
      <formula>6</formula>
    </cfRule>
    <cfRule type="cellIs" dxfId="181" priority="14" operator="equal">
      <formula>3</formula>
    </cfRule>
    <cfRule type="cellIs" dxfId="180" priority="15" operator="equal">
      <formula>7</formula>
    </cfRule>
    <cfRule type="cellIs" dxfId="179" priority="16" operator="equal">
      <formula>2</formula>
    </cfRule>
    <cfRule type="cellIs" dxfId="178" priority="17" operator="equal">
      <formula>5</formula>
    </cfRule>
    <cfRule type="cellIs" dxfId="177" priority="18" operator="equal">
      <formula>1</formula>
    </cfRule>
  </conditionalFormatting>
  <conditionalFormatting sqref="C13:C14">
    <cfRule type="cellIs" dxfId="176" priority="1" operator="equal">
      <formula>9</formula>
    </cfRule>
    <cfRule type="cellIs" dxfId="175" priority="2" operator="equal">
      <formula>8</formula>
    </cfRule>
    <cfRule type="cellIs" dxfId="174" priority="3" operator="equal">
      <formula>4</formula>
    </cfRule>
    <cfRule type="cellIs" dxfId="173" priority="4" operator="equal">
      <formula>6</formula>
    </cfRule>
    <cfRule type="cellIs" dxfId="172" priority="5" operator="equal">
      <formula>3</formula>
    </cfRule>
    <cfRule type="cellIs" dxfId="171" priority="6" operator="equal">
      <formula>7</formula>
    </cfRule>
    <cfRule type="cellIs" dxfId="170" priority="7" operator="equal">
      <formula>2</formula>
    </cfRule>
    <cfRule type="cellIs" dxfId="169" priority="8" operator="equal">
      <formula>5</formula>
    </cfRule>
    <cfRule type="cellIs" dxfId="168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1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167" priority="19" operator="equal">
      <formula>YEAR(TODAY())</formula>
    </cfRule>
    <cfRule type="cellIs" dxfId="166" priority="20" operator="equal">
      <formula>"T"</formula>
    </cfRule>
    <cfRule type="cellIs" dxfId="165" priority="21" operator="equal">
      <formula>"A"</formula>
    </cfRule>
    <cfRule type="cellIs" dxfId="164" priority="22" operator="equal">
      <formula>"S"</formula>
    </cfRule>
    <cfRule type="cellIs" dxfId="163" priority="23" operator="equal">
      <formula>"H"</formula>
    </cfRule>
    <cfRule type="cellIs" dxfId="162" priority="24" operator="equal">
      <formula>"X"</formula>
    </cfRule>
  </conditionalFormatting>
  <conditionalFormatting sqref="F19:AS27 F18 N18 V18 AD18 AL18">
    <cfRule type="cellIs" dxfId="161" priority="10" operator="equal">
      <formula>9</formula>
    </cfRule>
    <cfRule type="cellIs" dxfId="160" priority="11" operator="equal">
      <formula>8</formula>
    </cfRule>
    <cfRule type="cellIs" dxfId="159" priority="12" operator="equal">
      <formula>4</formula>
    </cfRule>
    <cfRule type="cellIs" dxfId="158" priority="13" operator="equal">
      <formula>6</formula>
    </cfRule>
    <cfRule type="cellIs" dxfId="157" priority="14" operator="equal">
      <formula>3</formula>
    </cfRule>
    <cfRule type="cellIs" dxfId="156" priority="15" operator="equal">
      <formula>7</formula>
    </cfRule>
    <cfRule type="cellIs" dxfId="155" priority="16" operator="equal">
      <formula>2</formula>
    </cfRule>
    <cfRule type="cellIs" dxfId="154" priority="17" operator="equal">
      <formula>5</formula>
    </cfRule>
    <cfRule type="cellIs" dxfId="153" priority="18" operator="equal">
      <formula>1</formula>
    </cfRule>
  </conditionalFormatting>
  <conditionalFormatting sqref="C13:C14">
    <cfRule type="cellIs" dxfId="152" priority="1" operator="equal">
      <formula>9</formula>
    </cfRule>
    <cfRule type="cellIs" dxfId="151" priority="2" operator="equal">
      <formula>8</formula>
    </cfRule>
    <cfRule type="cellIs" dxfId="150" priority="3" operator="equal">
      <formula>4</formula>
    </cfRule>
    <cfRule type="cellIs" dxfId="149" priority="4" operator="equal">
      <formula>6</formula>
    </cfRule>
    <cfRule type="cellIs" dxfId="148" priority="5" operator="equal">
      <formula>3</formula>
    </cfRule>
    <cfRule type="cellIs" dxfId="147" priority="6" operator="equal">
      <formula>7</formula>
    </cfRule>
    <cfRule type="cellIs" dxfId="146" priority="7" operator="equal">
      <formula>2</formula>
    </cfRule>
    <cfRule type="cellIs" dxfId="145" priority="8" operator="equal">
      <formula>5</formula>
    </cfRule>
    <cfRule type="cellIs" dxfId="144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2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143" priority="19" operator="equal">
      <formula>YEAR(TODAY())</formula>
    </cfRule>
    <cfRule type="cellIs" dxfId="142" priority="20" operator="equal">
      <formula>"T"</formula>
    </cfRule>
    <cfRule type="cellIs" dxfId="141" priority="21" operator="equal">
      <formula>"A"</formula>
    </cfRule>
    <cfRule type="cellIs" dxfId="140" priority="22" operator="equal">
      <formula>"S"</formula>
    </cfRule>
    <cfRule type="cellIs" dxfId="139" priority="23" operator="equal">
      <formula>"H"</formula>
    </cfRule>
    <cfRule type="cellIs" dxfId="138" priority="24" operator="equal">
      <formula>"X"</formula>
    </cfRule>
  </conditionalFormatting>
  <conditionalFormatting sqref="F19:AS27 F18 N18 V18 AD18 AL18">
    <cfRule type="cellIs" dxfId="137" priority="10" operator="equal">
      <formula>9</formula>
    </cfRule>
    <cfRule type="cellIs" dxfId="136" priority="11" operator="equal">
      <formula>8</formula>
    </cfRule>
    <cfRule type="cellIs" dxfId="135" priority="12" operator="equal">
      <formula>4</formula>
    </cfRule>
    <cfRule type="cellIs" dxfId="134" priority="13" operator="equal">
      <formula>6</formula>
    </cfRule>
    <cfRule type="cellIs" dxfId="133" priority="14" operator="equal">
      <formula>3</formula>
    </cfRule>
    <cfRule type="cellIs" dxfId="132" priority="15" operator="equal">
      <formula>7</formula>
    </cfRule>
    <cfRule type="cellIs" dxfId="131" priority="16" operator="equal">
      <formula>2</formula>
    </cfRule>
    <cfRule type="cellIs" dxfId="130" priority="17" operator="equal">
      <formula>5</formula>
    </cfRule>
    <cfRule type="cellIs" dxfId="129" priority="18" operator="equal">
      <formula>1</formula>
    </cfRule>
  </conditionalFormatting>
  <conditionalFormatting sqref="C13:C14">
    <cfRule type="cellIs" dxfId="128" priority="1" operator="equal">
      <formula>9</formula>
    </cfRule>
    <cfRule type="cellIs" dxfId="127" priority="2" operator="equal">
      <formula>8</formula>
    </cfRule>
    <cfRule type="cellIs" dxfId="126" priority="3" operator="equal">
      <formula>4</formula>
    </cfRule>
    <cfRule type="cellIs" dxfId="125" priority="4" operator="equal">
      <formula>6</formula>
    </cfRule>
    <cfRule type="cellIs" dxfId="124" priority="5" operator="equal">
      <formula>3</formula>
    </cfRule>
    <cfRule type="cellIs" dxfId="123" priority="6" operator="equal">
      <formula>7</formula>
    </cfRule>
    <cfRule type="cellIs" dxfId="122" priority="7" operator="equal">
      <formula>2</formula>
    </cfRule>
    <cfRule type="cellIs" dxfId="121" priority="8" operator="equal">
      <formula>5</formula>
    </cfRule>
    <cfRule type="cellIs" dxfId="120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3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119" priority="19" operator="equal">
      <formula>YEAR(TODAY())</formula>
    </cfRule>
    <cfRule type="cellIs" dxfId="118" priority="20" operator="equal">
      <formula>"T"</formula>
    </cfRule>
    <cfRule type="cellIs" dxfId="117" priority="21" operator="equal">
      <formula>"A"</formula>
    </cfRule>
    <cfRule type="cellIs" dxfId="116" priority="22" operator="equal">
      <formula>"S"</formula>
    </cfRule>
    <cfRule type="cellIs" dxfId="115" priority="23" operator="equal">
      <formula>"H"</formula>
    </cfRule>
    <cfRule type="cellIs" dxfId="114" priority="24" operator="equal">
      <formula>"X"</formula>
    </cfRule>
  </conditionalFormatting>
  <conditionalFormatting sqref="F19:AS27 F18 N18 V18 AD18 AL18">
    <cfRule type="cellIs" dxfId="113" priority="10" operator="equal">
      <formula>9</formula>
    </cfRule>
    <cfRule type="cellIs" dxfId="112" priority="11" operator="equal">
      <formula>8</formula>
    </cfRule>
    <cfRule type="cellIs" dxfId="111" priority="12" operator="equal">
      <formula>4</formula>
    </cfRule>
    <cfRule type="cellIs" dxfId="110" priority="13" operator="equal">
      <formula>6</formula>
    </cfRule>
    <cfRule type="cellIs" dxfId="109" priority="14" operator="equal">
      <formula>3</formula>
    </cfRule>
    <cfRule type="cellIs" dxfId="108" priority="15" operator="equal">
      <formula>7</formula>
    </cfRule>
    <cfRule type="cellIs" dxfId="107" priority="16" operator="equal">
      <formula>2</formula>
    </cfRule>
    <cfRule type="cellIs" dxfId="106" priority="17" operator="equal">
      <formula>5</formula>
    </cfRule>
    <cfRule type="cellIs" dxfId="105" priority="18" operator="equal">
      <formula>1</formula>
    </cfRule>
  </conditionalFormatting>
  <conditionalFormatting sqref="C13:C14">
    <cfRule type="cellIs" dxfId="104" priority="1" operator="equal">
      <formula>9</formula>
    </cfRule>
    <cfRule type="cellIs" dxfId="103" priority="2" operator="equal">
      <formula>8</formula>
    </cfRule>
    <cfRule type="cellIs" dxfId="102" priority="3" operator="equal">
      <formula>4</formula>
    </cfRule>
    <cfRule type="cellIs" dxfId="101" priority="4" operator="equal">
      <formula>6</formula>
    </cfRule>
    <cfRule type="cellIs" dxfId="100" priority="5" operator="equal">
      <formula>3</formula>
    </cfRule>
    <cfRule type="cellIs" dxfId="99" priority="6" operator="equal">
      <formula>7</formula>
    </cfRule>
    <cfRule type="cellIs" dxfId="98" priority="7" operator="equal">
      <formula>2</formula>
    </cfRule>
    <cfRule type="cellIs" dxfId="97" priority="8" operator="equal">
      <formula>5</formula>
    </cfRule>
    <cfRule type="cellIs" dxfId="96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4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95" priority="19" operator="equal">
      <formula>YEAR(TODAY())</formula>
    </cfRule>
    <cfRule type="cellIs" dxfId="94" priority="20" operator="equal">
      <formula>"T"</formula>
    </cfRule>
    <cfRule type="cellIs" dxfId="93" priority="21" operator="equal">
      <formula>"A"</formula>
    </cfRule>
    <cfRule type="cellIs" dxfId="92" priority="22" operator="equal">
      <formula>"S"</formula>
    </cfRule>
    <cfRule type="cellIs" dxfId="91" priority="23" operator="equal">
      <formula>"H"</formula>
    </cfRule>
    <cfRule type="cellIs" dxfId="90" priority="24" operator="equal">
      <formula>"X"</formula>
    </cfRule>
  </conditionalFormatting>
  <conditionalFormatting sqref="F19:AS27 F18 N18 V18 AD18 AL18">
    <cfRule type="cellIs" dxfId="89" priority="10" operator="equal">
      <formula>9</formula>
    </cfRule>
    <cfRule type="cellIs" dxfId="88" priority="11" operator="equal">
      <formula>8</formula>
    </cfRule>
    <cfRule type="cellIs" dxfId="87" priority="12" operator="equal">
      <formula>4</formula>
    </cfRule>
    <cfRule type="cellIs" dxfId="86" priority="13" operator="equal">
      <formula>6</formula>
    </cfRule>
    <cfRule type="cellIs" dxfId="85" priority="14" operator="equal">
      <formula>3</formula>
    </cfRule>
    <cfRule type="cellIs" dxfId="84" priority="15" operator="equal">
      <formula>7</formula>
    </cfRule>
    <cfRule type="cellIs" dxfId="83" priority="16" operator="equal">
      <formula>2</formula>
    </cfRule>
    <cfRule type="cellIs" dxfId="82" priority="17" operator="equal">
      <formula>5</formula>
    </cfRule>
    <cfRule type="cellIs" dxfId="81" priority="18" operator="equal">
      <formula>1</formula>
    </cfRule>
  </conditionalFormatting>
  <conditionalFormatting sqref="C13:C14">
    <cfRule type="cellIs" dxfId="80" priority="1" operator="equal">
      <formula>9</formula>
    </cfRule>
    <cfRule type="cellIs" dxfId="79" priority="2" operator="equal">
      <formula>8</formula>
    </cfRule>
    <cfRule type="cellIs" dxfId="78" priority="3" operator="equal">
      <formula>4</formula>
    </cfRule>
    <cfRule type="cellIs" dxfId="77" priority="4" operator="equal">
      <formula>6</formula>
    </cfRule>
    <cfRule type="cellIs" dxfId="76" priority="5" operator="equal">
      <formula>3</formula>
    </cfRule>
    <cfRule type="cellIs" dxfId="75" priority="6" operator="equal">
      <formula>7</formula>
    </cfRule>
    <cfRule type="cellIs" dxfId="74" priority="7" operator="equal">
      <formula>2</formula>
    </cfRule>
    <cfRule type="cellIs" dxfId="73" priority="8" operator="equal">
      <formula>5</formula>
    </cfRule>
    <cfRule type="cellIs" dxfId="72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5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71" priority="19" operator="equal">
      <formula>YEAR(TODAY())</formula>
    </cfRule>
    <cfRule type="cellIs" dxfId="70" priority="20" operator="equal">
      <formula>"T"</formula>
    </cfRule>
    <cfRule type="cellIs" dxfId="69" priority="21" operator="equal">
      <formula>"A"</formula>
    </cfRule>
    <cfRule type="cellIs" dxfId="68" priority="22" operator="equal">
      <formula>"S"</formula>
    </cfRule>
    <cfRule type="cellIs" dxfId="67" priority="23" operator="equal">
      <formula>"H"</formula>
    </cfRule>
    <cfRule type="cellIs" dxfId="66" priority="24" operator="equal">
      <formula>"X"</formula>
    </cfRule>
  </conditionalFormatting>
  <conditionalFormatting sqref="F19:AS27 F18 N18 V18 AD18 AL18">
    <cfRule type="cellIs" dxfId="65" priority="10" operator="equal">
      <formula>9</formula>
    </cfRule>
    <cfRule type="cellIs" dxfId="64" priority="11" operator="equal">
      <formula>8</formula>
    </cfRule>
    <cfRule type="cellIs" dxfId="63" priority="12" operator="equal">
      <formula>4</formula>
    </cfRule>
    <cfRule type="cellIs" dxfId="62" priority="13" operator="equal">
      <formula>6</formula>
    </cfRule>
    <cfRule type="cellIs" dxfId="61" priority="14" operator="equal">
      <formula>3</formula>
    </cfRule>
    <cfRule type="cellIs" dxfId="60" priority="15" operator="equal">
      <formula>7</formula>
    </cfRule>
    <cfRule type="cellIs" dxfId="59" priority="16" operator="equal">
      <formula>2</formula>
    </cfRule>
    <cfRule type="cellIs" dxfId="58" priority="17" operator="equal">
      <formula>5</formula>
    </cfRule>
    <cfRule type="cellIs" dxfId="57" priority="18" operator="equal">
      <formula>1</formula>
    </cfRule>
  </conditionalFormatting>
  <conditionalFormatting sqref="C13:C14">
    <cfRule type="cellIs" dxfId="56" priority="1" operator="equal">
      <formula>9</formula>
    </cfRule>
    <cfRule type="cellIs" dxfId="55" priority="2" operator="equal">
      <formula>8</formula>
    </cfRule>
    <cfRule type="cellIs" dxfId="54" priority="3" operator="equal">
      <formula>4</formula>
    </cfRule>
    <cfRule type="cellIs" dxfId="53" priority="4" operator="equal">
      <formula>6</formula>
    </cfRule>
    <cfRule type="cellIs" dxfId="52" priority="5" operator="equal">
      <formula>3</formula>
    </cfRule>
    <cfRule type="cellIs" dxfId="51" priority="6" operator="equal">
      <formula>7</formula>
    </cfRule>
    <cfRule type="cellIs" dxfId="50" priority="7" operator="equal">
      <formula>2</formula>
    </cfRule>
    <cfRule type="cellIs" dxfId="49" priority="8" operator="equal">
      <formula>5</formula>
    </cfRule>
    <cfRule type="cellIs" dxfId="48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6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47" priority="19" operator="equal">
      <formula>YEAR(TODAY())</formula>
    </cfRule>
    <cfRule type="cellIs" dxfId="46" priority="20" operator="equal">
      <formula>"T"</formula>
    </cfRule>
    <cfRule type="cellIs" dxfId="45" priority="21" operator="equal">
      <formula>"A"</formula>
    </cfRule>
    <cfRule type="cellIs" dxfId="44" priority="22" operator="equal">
      <formula>"S"</formula>
    </cfRule>
    <cfRule type="cellIs" dxfId="43" priority="23" operator="equal">
      <formula>"H"</formula>
    </cfRule>
    <cfRule type="cellIs" dxfId="42" priority="24" operator="equal">
      <formula>"X"</formula>
    </cfRule>
  </conditionalFormatting>
  <conditionalFormatting sqref="F19:AS27 F18 N18 V18 AD18 AL18">
    <cfRule type="cellIs" dxfId="41" priority="10" operator="equal">
      <formula>9</formula>
    </cfRule>
    <cfRule type="cellIs" dxfId="40" priority="11" operator="equal">
      <formula>8</formula>
    </cfRule>
    <cfRule type="cellIs" dxfId="39" priority="12" operator="equal">
      <formula>4</formula>
    </cfRule>
    <cfRule type="cellIs" dxfId="38" priority="13" operator="equal">
      <formula>6</formula>
    </cfRule>
    <cfRule type="cellIs" dxfId="37" priority="14" operator="equal">
      <formula>3</formula>
    </cfRule>
    <cfRule type="cellIs" dxfId="36" priority="15" operator="equal">
      <formula>7</formula>
    </cfRule>
    <cfRule type="cellIs" dxfId="35" priority="16" operator="equal">
      <formula>2</formula>
    </cfRule>
    <cfRule type="cellIs" dxfId="34" priority="17" operator="equal">
      <formula>5</formula>
    </cfRule>
    <cfRule type="cellIs" dxfId="33" priority="18" operator="equal">
      <formula>1</formula>
    </cfRule>
  </conditionalFormatting>
  <conditionalFormatting sqref="C13:C14">
    <cfRule type="cellIs" dxfId="32" priority="1" operator="equal">
      <formula>9</formula>
    </cfRule>
    <cfRule type="cellIs" dxfId="31" priority="2" operator="equal">
      <formula>8</formula>
    </cfRule>
    <cfRule type="cellIs" dxfId="30" priority="3" operator="equal">
      <formula>4</formula>
    </cfRule>
    <cfRule type="cellIs" dxfId="29" priority="4" operator="equal">
      <formula>6</formula>
    </cfRule>
    <cfRule type="cellIs" dxfId="28" priority="5" operator="equal">
      <formula>3</formula>
    </cfRule>
    <cfRule type="cellIs" dxfId="27" priority="6" operator="equal">
      <formula>7</formula>
    </cfRule>
    <cfRule type="cellIs" dxfId="26" priority="7" operator="equal">
      <formula>2</formula>
    </cfRule>
    <cfRule type="cellIs" dxfId="25" priority="8" operator="equal">
      <formula>5</formula>
    </cfRule>
    <cfRule type="cellIs" dxfId="24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7"/>
  <dimension ref="A1:XEY36"/>
  <sheetViews>
    <sheetView showGridLines="0" zoomScale="85" zoomScaleNormal="85" zoomScaleSheetLayoutView="100" workbookViewId="0">
      <selection activeCell="C24" sqref="C24:F2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5.42578125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50" width="9.140625" hidden="1"/>
    <col min="16380" max="16384" width="9.140625" hidden="1"/>
  </cols>
  <sheetData>
    <row r="1" spans="1:46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17.25" customHeight="1" thickTop="1" thickBot="1" x14ac:dyDescent="0.3">
      <c r="A2" s="1"/>
      <c r="B2" s="15" t="s">
        <v>0</v>
      </c>
      <c r="C2" s="15" t="s">
        <v>1</v>
      </c>
      <c r="D2" s="15" t="s">
        <v>2</v>
      </c>
      <c r="E2" s="1"/>
      <c r="F2" s="196" t="s">
        <v>50</v>
      </c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8"/>
      <c r="AT2" s="1"/>
    </row>
    <row r="3" spans="1:46" ht="22.5" customHeight="1" thickTop="1" thickBot="1" x14ac:dyDescent="0.3">
      <c r="A3" s="1"/>
      <c r="B3" s="16">
        <v>1</v>
      </c>
      <c r="C3" s="17">
        <v>1</v>
      </c>
      <c r="D3" s="17">
        <v>2016</v>
      </c>
      <c r="E3" s="1"/>
      <c r="F3" s="199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1"/>
      <c r="AT3" s="1"/>
    </row>
    <row r="4" spans="1:46" ht="22.5" thickTop="1" thickBot="1" x14ac:dyDescent="0.3">
      <c r="A4" s="1"/>
      <c r="B4" s="2"/>
      <c r="C4" s="2"/>
      <c r="D4" s="2"/>
      <c r="E4" s="1"/>
      <c r="F4" s="206" t="s">
        <v>33</v>
      </c>
      <c r="G4" s="203"/>
      <c r="H4" s="203"/>
      <c r="I4" s="205"/>
      <c r="J4" s="202" t="s">
        <v>32</v>
      </c>
      <c r="K4" s="203"/>
      <c r="L4" s="203"/>
      <c r="M4" s="205"/>
      <c r="N4" s="202" t="s">
        <v>31</v>
      </c>
      <c r="O4" s="203"/>
      <c r="P4" s="203"/>
      <c r="Q4" s="205"/>
      <c r="R4" s="202" t="s">
        <v>30</v>
      </c>
      <c r="S4" s="203"/>
      <c r="T4" s="203"/>
      <c r="U4" s="205"/>
      <c r="V4" s="202" t="s">
        <v>29</v>
      </c>
      <c r="W4" s="203"/>
      <c r="X4" s="203"/>
      <c r="Y4" s="205"/>
      <c r="Z4" s="202" t="s">
        <v>34</v>
      </c>
      <c r="AA4" s="203"/>
      <c r="AB4" s="203"/>
      <c r="AC4" s="205"/>
      <c r="AD4" s="202" t="s">
        <v>28</v>
      </c>
      <c r="AE4" s="203"/>
      <c r="AF4" s="203"/>
      <c r="AG4" s="205"/>
      <c r="AH4" s="202" t="s">
        <v>27</v>
      </c>
      <c r="AI4" s="203"/>
      <c r="AJ4" s="203"/>
      <c r="AK4" s="205"/>
      <c r="AL4" s="202" t="s">
        <v>26</v>
      </c>
      <c r="AM4" s="203"/>
      <c r="AN4" s="203"/>
      <c r="AO4" s="205"/>
      <c r="AP4" s="202" t="s">
        <v>25</v>
      </c>
      <c r="AQ4" s="203"/>
      <c r="AR4" s="203"/>
      <c r="AS4" s="204"/>
      <c r="AT4" s="1"/>
    </row>
    <row r="5" spans="1:46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9</v>
      </c>
      <c r="E5" s="1"/>
      <c r="F5" s="62" t="s">
        <v>3</v>
      </c>
      <c r="G5" s="63"/>
      <c r="H5" s="64">
        <v>81</v>
      </c>
      <c r="I5" s="63" t="s">
        <v>4</v>
      </c>
      <c r="J5" s="63" t="s">
        <v>3</v>
      </c>
      <c r="K5" s="63"/>
      <c r="L5" s="63">
        <v>72</v>
      </c>
      <c r="M5" s="63" t="s">
        <v>4</v>
      </c>
      <c r="N5" s="63" t="s">
        <v>3</v>
      </c>
      <c r="O5" s="63"/>
      <c r="P5" s="63">
        <v>63</v>
      </c>
      <c r="Q5" s="63" t="s">
        <v>4</v>
      </c>
      <c r="R5" s="63" t="s">
        <v>3</v>
      </c>
      <c r="S5" s="63"/>
      <c r="T5" s="63">
        <v>54</v>
      </c>
      <c r="U5" s="63" t="s">
        <v>4</v>
      </c>
      <c r="V5" s="63" t="s">
        <v>3</v>
      </c>
      <c r="W5" s="63"/>
      <c r="X5" s="63">
        <v>45</v>
      </c>
      <c r="Y5" s="63" t="s">
        <v>4</v>
      </c>
      <c r="Z5" s="63" t="s">
        <v>3</v>
      </c>
      <c r="AA5" s="63"/>
      <c r="AB5" s="63">
        <v>36</v>
      </c>
      <c r="AC5" s="63" t="s">
        <v>4</v>
      </c>
      <c r="AD5" s="63" t="s">
        <v>3</v>
      </c>
      <c r="AE5" s="63"/>
      <c r="AF5" s="63">
        <v>27</v>
      </c>
      <c r="AG5" s="63" t="s">
        <v>4</v>
      </c>
      <c r="AH5" s="63" t="s">
        <v>3</v>
      </c>
      <c r="AI5" s="63"/>
      <c r="AJ5" s="63">
        <v>18</v>
      </c>
      <c r="AK5" s="63" t="s">
        <v>4</v>
      </c>
      <c r="AL5" s="63" t="s">
        <v>3</v>
      </c>
      <c r="AM5" s="63"/>
      <c r="AN5" s="63">
        <v>9</v>
      </c>
      <c r="AO5" s="63" t="s">
        <v>4</v>
      </c>
      <c r="AP5" s="63" t="s">
        <v>3</v>
      </c>
      <c r="AQ5" s="63"/>
      <c r="AR5" s="63">
        <v>0</v>
      </c>
      <c r="AS5" s="65" t="s">
        <v>4</v>
      </c>
      <c r="AT5" s="1"/>
    </row>
    <row r="6" spans="1:46" ht="17.25" customHeight="1" thickTop="1" thickBot="1" x14ac:dyDescent="0.3">
      <c r="A6" s="1"/>
      <c r="B6" s="4"/>
      <c r="C6" s="4"/>
      <c r="E6" s="1"/>
      <c r="F6" s="20">
        <f>J6+9</f>
        <v>2097</v>
      </c>
      <c r="G6" s="21">
        <f t="shared" ref="G6:G14" si="0">MOD(K6+1,4)</f>
        <v>1</v>
      </c>
      <c r="H6" s="22" t="str">
        <f>IF(G6=0,"H","")&amp;IF(G6=1,"S","")&amp;IF(G6=2,"A","")&amp;IF(G6=3,"T","")</f>
        <v>S</v>
      </c>
      <c r="I6" s="85">
        <f>IF(MOD(M14+1,10)=0,1,MOD(M14+1,10))</f>
        <v>2</v>
      </c>
      <c r="J6" s="23">
        <f>N6+9</f>
        <v>2088</v>
      </c>
      <c r="K6" s="21">
        <f t="shared" ref="K6:K14" si="1">MOD(O6+1,4)</f>
        <v>0</v>
      </c>
      <c r="L6" s="22" t="str">
        <f>IF(K6=0,"H","")&amp;IF(K6=1,"S","")&amp;IF(K6=2,"A","")&amp;IF(K6=3,"T","")</f>
        <v>H</v>
      </c>
      <c r="M6" s="85">
        <f>IF(MOD(Q14+1,10)=0,1,MOD(Q14+1,10))</f>
        <v>2</v>
      </c>
      <c r="N6" s="23">
        <f>R6+9</f>
        <v>2079</v>
      </c>
      <c r="O6" s="21">
        <f t="shared" ref="O6:O14" si="2">MOD(S6+1,4)</f>
        <v>3</v>
      </c>
      <c r="P6" s="22" t="str">
        <f>IF(O6=0,"H","")&amp;IF(O6=1,"S","")&amp;IF(O6=2,"A","")&amp;IF(O6=3,"T","")</f>
        <v>T</v>
      </c>
      <c r="Q6" s="85">
        <f>IF(MOD(U14+1,10)=0,1,MOD(U14+1,10))</f>
        <v>2</v>
      </c>
      <c r="R6" s="23">
        <f>V6+9</f>
        <v>2070</v>
      </c>
      <c r="S6" s="21">
        <f t="shared" ref="S6:S14" si="3">MOD(W6+1,4)</f>
        <v>2</v>
      </c>
      <c r="T6" s="22" t="str">
        <f>IF(S6=0,"H","")&amp;IF(S6=1,"S","")&amp;IF(S6=2,"A","")&amp;IF(S6=3,"T","")</f>
        <v>A</v>
      </c>
      <c r="U6" s="85">
        <f>IF(MOD(Y14+1,10)=0,1,MOD(Y14+1,10))</f>
        <v>2</v>
      </c>
      <c r="V6" s="23">
        <f>Z6+9</f>
        <v>2061</v>
      </c>
      <c r="W6" s="21">
        <f t="shared" ref="W6:W14" si="4">MOD(AA6+1,4)</f>
        <v>1</v>
      </c>
      <c r="X6" s="22" t="str">
        <f>IF(W6=0,"H","")&amp;IF(W6=1,"S","")&amp;IF(W6=2,"A","")&amp;IF(W6=3,"T","")</f>
        <v>S</v>
      </c>
      <c r="Y6" s="85">
        <f>IF(MOD(AC14+1,10)=0,1,MOD(AC14+1,10))</f>
        <v>2</v>
      </c>
      <c r="Z6" s="23">
        <f>AD6+9</f>
        <v>2052</v>
      </c>
      <c r="AA6" s="21">
        <f t="shared" ref="AA6:AA14" si="5">MOD(AE6+1,4)</f>
        <v>0</v>
      </c>
      <c r="AB6" s="22" t="str">
        <f>IF(AA6=0,"H","")&amp;IF(AA6=1,"S","")&amp;IF(AA6=2,"A","")&amp;IF(AA6=3,"T","")</f>
        <v>H</v>
      </c>
      <c r="AC6" s="85">
        <f>IF(MOD(AG14+1,10)=0,1,MOD(AG14+1,10))</f>
        <v>2</v>
      </c>
      <c r="AD6" s="23">
        <f>AH6+9</f>
        <v>2043</v>
      </c>
      <c r="AE6" s="21">
        <f t="shared" ref="AE6:AE14" si="6">MOD(AI6+1,4)</f>
        <v>3</v>
      </c>
      <c r="AF6" s="22" t="str">
        <f>IF(AE6=0,"H","")&amp;IF(AE6=1,"S","")&amp;IF(AE6=2,"A","")&amp;IF(AE6=3,"T","")</f>
        <v>T</v>
      </c>
      <c r="AG6" s="85">
        <f>IF(MOD(AK14+1,10)=0,1,MOD(AK14+1,10))</f>
        <v>2</v>
      </c>
      <c r="AH6" s="23">
        <f>AL6+9</f>
        <v>2034</v>
      </c>
      <c r="AI6" s="21">
        <f t="shared" ref="AI6:AI14" si="7">MOD(AM6+1,4)</f>
        <v>2</v>
      </c>
      <c r="AJ6" s="22" t="str">
        <f>IF(AI6=-1,"X","")&amp;IF(AI6=0,"H","")&amp;IF(AI6=1,"S","")&amp;IF(AI6=2,"A","")&amp;IF(AI6=3,"T","")</f>
        <v>A</v>
      </c>
      <c r="AK6" s="85">
        <f>IF(MOD(AO14+1,10)=0,1,MOD(AO14+1,10))</f>
        <v>2</v>
      </c>
      <c r="AL6" s="23">
        <f>AP6+9</f>
        <v>2025</v>
      </c>
      <c r="AM6" s="21">
        <f t="shared" ref="AM6:AM14" si="8">MOD(AQ6+1,4)</f>
        <v>1</v>
      </c>
      <c r="AN6" s="22" t="str">
        <f>IF(AM6=-1,"X","")&amp;IF(AM6=0,"H","")&amp;IF(AM6=1,"S","")&amp;IF(AM6=2,"A","")&amp;IF(AM6=3,"T","")</f>
        <v>S</v>
      </c>
      <c r="AO6" s="85">
        <f>IF(MOD(AS14+1,10)=0,1,MOD(AS14+1,10))</f>
        <v>2</v>
      </c>
      <c r="AP6" s="23">
        <f>$D$3</f>
        <v>2016</v>
      </c>
      <c r="AQ6" s="21">
        <f>$AR$5</f>
        <v>0</v>
      </c>
      <c r="AR6" s="22" t="str">
        <f>IF(AQ6=-1,"X","")&amp;IF(AQ6=0,"H","")&amp;IF(AQ6=1,"S","")&amp;IF(AQ6=2,"A","")&amp;IF(AQ6=3,"T","")</f>
        <v>H</v>
      </c>
      <c r="AS6" s="86">
        <f>MOD($C$13+(AP6-$D$3),10)</f>
        <v>2</v>
      </c>
      <c r="AT6" s="1"/>
    </row>
    <row r="7" spans="1:46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9</v>
      </c>
      <c r="E7" s="1"/>
      <c r="F7" s="24">
        <f t="shared" ref="F7:F14" si="9">F6+1</f>
        <v>2098</v>
      </c>
      <c r="G7" s="25">
        <f t="shared" si="0"/>
        <v>1</v>
      </c>
      <c r="H7" s="22" t="str">
        <f>IF(G7=0,"H","")&amp;IF(G7=1,"S","")&amp;IF(G7=2,"A","")&amp;IF(G7=3,"T","")</f>
        <v>S</v>
      </c>
      <c r="I7" s="25">
        <f t="shared" ref="I7:I14" si="10">IF(MOD(I6+1,10)=0,1,MOD(I6+1,10))</f>
        <v>3</v>
      </c>
      <c r="J7" s="26">
        <f t="shared" ref="J7:J14" si="11">J6+1</f>
        <v>2089</v>
      </c>
      <c r="K7" s="25">
        <f t="shared" si="1"/>
        <v>0</v>
      </c>
      <c r="L7" s="22" t="str">
        <f>IF(K7=0,"H","")&amp;IF(K7=1,"S","")&amp;IF(K7=2,"A","")&amp;IF(K7=3,"T","")</f>
        <v>H</v>
      </c>
      <c r="M7" s="25">
        <f t="shared" ref="M7:M14" si="12">IF(MOD(M6+1,10)=0,1,MOD(M6+1,10))</f>
        <v>3</v>
      </c>
      <c r="N7" s="26">
        <f t="shared" ref="N7:N14" si="13">N6+1</f>
        <v>2080</v>
      </c>
      <c r="O7" s="25">
        <f t="shared" si="2"/>
        <v>3</v>
      </c>
      <c r="P7" s="22" t="str">
        <f>IF(O7=0,"H","")&amp;IF(O7=1,"S","")&amp;IF(O7=2,"A","")&amp;IF(O7=3,"T","")</f>
        <v>T</v>
      </c>
      <c r="Q7" s="25">
        <f t="shared" ref="Q7:Q14" si="14">IF(MOD(Q6+1,10)=0,1,MOD(Q6+1,10))</f>
        <v>3</v>
      </c>
      <c r="R7" s="26">
        <f t="shared" ref="R7:R14" si="15">R6+1</f>
        <v>2071</v>
      </c>
      <c r="S7" s="25">
        <f t="shared" si="3"/>
        <v>2</v>
      </c>
      <c r="T7" s="22" t="str">
        <f>IF(S7=0,"H","")&amp;IF(S7=1,"S","")&amp;IF(S7=2,"A","")&amp;IF(S7=3,"T","")</f>
        <v>A</v>
      </c>
      <c r="U7" s="25">
        <f t="shared" ref="U7:U14" si="16">IF(MOD(U6+1,10)=0,1,MOD(U6+1,10))</f>
        <v>3</v>
      </c>
      <c r="V7" s="26">
        <f t="shared" ref="V7:V14" si="17">V6+1</f>
        <v>2062</v>
      </c>
      <c r="W7" s="25">
        <f t="shared" si="4"/>
        <v>1</v>
      </c>
      <c r="X7" s="22" t="str">
        <f>IF(W7=0,"H","")&amp;IF(W7=1,"S","")&amp;IF(W7=2,"A","")&amp;IF(W7=3,"T","")</f>
        <v>S</v>
      </c>
      <c r="Y7" s="27">
        <f t="shared" ref="Y7:Y14" si="18">IF(MOD(Y6+1,10)=0,1,MOD(Y6+1,10))</f>
        <v>3</v>
      </c>
      <c r="Z7" s="26">
        <f t="shared" ref="Z7:Z14" si="19">Z6+1</f>
        <v>2053</v>
      </c>
      <c r="AA7" s="25">
        <f t="shared" si="5"/>
        <v>0</v>
      </c>
      <c r="AB7" s="22" t="str">
        <f>IF(AA7=0,"H","")&amp;IF(AA7=1,"S","")&amp;IF(AA7=2,"A","")&amp;IF(AA7=3,"T","")</f>
        <v>H</v>
      </c>
      <c r="AC7" s="27">
        <f t="shared" ref="AC7:AC14" si="20">IF(MOD(AC6+1,10)=0,1,MOD(AC6+1,10))</f>
        <v>3</v>
      </c>
      <c r="AD7" s="26">
        <f t="shared" ref="AD7:AD14" si="21">AD6+1</f>
        <v>2044</v>
      </c>
      <c r="AE7" s="25">
        <f t="shared" si="6"/>
        <v>3</v>
      </c>
      <c r="AF7" s="22" t="str">
        <f>IF(AE7=0,"H","")&amp;IF(AE7=1,"S","")&amp;IF(AE7=2,"A","")&amp;IF(AE7=3,"T","")</f>
        <v>T</v>
      </c>
      <c r="AG7" s="27">
        <f t="shared" ref="AG7:AG14" si="22">IF(MOD(AG6+1,10)=0,1,MOD(AG6+1,10))</f>
        <v>3</v>
      </c>
      <c r="AH7" s="26">
        <f t="shared" ref="AH7:AH14" si="23">AH6+1</f>
        <v>2035</v>
      </c>
      <c r="AI7" s="25">
        <f t="shared" si="7"/>
        <v>2</v>
      </c>
      <c r="AJ7" s="22" t="str">
        <f>IF(AI7=0,"H","")&amp;IF(AI7=1,"S","")&amp;IF(AI7=2,"A","")&amp;IF(AI7=3,"T","")</f>
        <v>A</v>
      </c>
      <c r="AK7" s="27">
        <f t="shared" ref="AK7:AK14" si="24">IF(MOD(AK6+1,10)=0,1,MOD(AK6+1,10))</f>
        <v>3</v>
      </c>
      <c r="AL7" s="26">
        <f t="shared" ref="AL7:AL14" si="25">AL6+1</f>
        <v>2026</v>
      </c>
      <c r="AM7" s="25">
        <f t="shared" si="8"/>
        <v>1</v>
      </c>
      <c r="AN7" s="22" t="str">
        <f>IF(AM7=0,"H","")&amp;IF(AM7=1,"S","")&amp;IF(AM7=2,"A","")&amp;IF(AM7=3,"T","")</f>
        <v>S</v>
      </c>
      <c r="AO7" s="27">
        <f t="shared" ref="AO7:AO14" si="26">IF(MOD(AO6+1,10)=0,1,MOD(AO6+1,10))</f>
        <v>3</v>
      </c>
      <c r="AP7" s="26">
        <f>AP6+1</f>
        <v>2017</v>
      </c>
      <c r="AQ7" s="25">
        <f t="shared" ref="AQ7:AQ14" si="27">$AR$5</f>
        <v>0</v>
      </c>
      <c r="AR7" s="22" t="str">
        <f>IF(AQ7=-1,"X","")&amp;IF(AQ7=0,"H","")&amp;IF(AQ7=1,"S","")&amp;IF(AQ7=2,"A","")&amp;IF(AQ7=3,"T","")</f>
        <v>H</v>
      </c>
      <c r="AS7" s="28">
        <f t="shared" ref="AS7:AS14" si="28">IF(MOD(AS6+1,10)=0,1,MOD(AS6+1,10))</f>
        <v>3</v>
      </c>
      <c r="AT7" s="1"/>
    </row>
    <row r="8" spans="1:46" ht="17.25" customHeight="1" thickTop="1" x14ac:dyDescent="0.25">
      <c r="A8" s="1"/>
      <c r="B8" s="4"/>
      <c r="C8" s="4"/>
      <c r="D8" s="4"/>
      <c r="E8" s="1"/>
      <c r="F8" s="24">
        <f t="shared" si="9"/>
        <v>2099</v>
      </c>
      <c r="G8" s="25">
        <f t="shared" si="0"/>
        <v>1</v>
      </c>
      <c r="H8" s="22" t="str">
        <f t="shared" ref="H8:H14" si="29">IF(G8=0,"H","")&amp;IF(G8=1,"S","")&amp;IF(G8=2,"A","")&amp;IF(G8=3,"T","")</f>
        <v>S</v>
      </c>
      <c r="I8" s="25">
        <f t="shared" si="10"/>
        <v>4</v>
      </c>
      <c r="J8" s="26">
        <f t="shared" si="11"/>
        <v>2090</v>
      </c>
      <c r="K8" s="25">
        <f t="shared" si="1"/>
        <v>0</v>
      </c>
      <c r="L8" s="22" t="str">
        <f t="shared" ref="L8:L14" si="30">IF(K8=0,"H","")&amp;IF(K8=1,"S","")&amp;IF(K8=2,"A","")&amp;IF(K8=3,"T","")</f>
        <v>H</v>
      </c>
      <c r="M8" s="25">
        <f t="shared" si="12"/>
        <v>4</v>
      </c>
      <c r="N8" s="26">
        <f t="shared" si="13"/>
        <v>2081</v>
      </c>
      <c r="O8" s="25">
        <f t="shared" si="2"/>
        <v>3</v>
      </c>
      <c r="P8" s="22" t="str">
        <f t="shared" ref="P8:P14" si="31">IF(O8=0,"H","")&amp;IF(O8=1,"S","")&amp;IF(O8=2,"A","")&amp;IF(O8=3,"T","")</f>
        <v>T</v>
      </c>
      <c r="Q8" s="25">
        <f t="shared" si="14"/>
        <v>4</v>
      </c>
      <c r="R8" s="26">
        <f t="shared" si="15"/>
        <v>2072</v>
      </c>
      <c r="S8" s="25">
        <f t="shared" si="3"/>
        <v>2</v>
      </c>
      <c r="T8" s="22" t="str">
        <f t="shared" ref="T8:T14" si="32">IF(S8=0,"H","")&amp;IF(S8=1,"S","")&amp;IF(S8=2,"A","")&amp;IF(S8=3,"T","")</f>
        <v>A</v>
      </c>
      <c r="U8" s="25">
        <f t="shared" si="16"/>
        <v>4</v>
      </c>
      <c r="V8" s="26">
        <f t="shared" si="17"/>
        <v>2063</v>
      </c>
      <c r="W8" s="25">
        <f t="shared" si="4"/>
        <v>1</v>
      </c>
      <c r="X8" s="22" t="str">
        <f t="shared" ref="X8:X14" si="33">IF(W8=0,"H","")&amp;IF(W8=1,"S","")&amp;IF(W8=2,"A","")&amp;IF(W8=3,"T","")</f>
        <v>S</v>
      </c>
      <c r="Y8" s="27">
        <f t="shared" si="18"/>
        <v>4</v>
      </c>
      <c r="Z8" s="26">
        <f t="shared" si="19"/>
        <v>2054</v>
      </c>
      <c r="AA8" s="25">
        <f t="shared" si="5"/>
        <v>0</v>
      </c>
      <c r="AB8" s="22" t="str">
        <f t="shared" ref="AB8:AB14" si="34">IF(AA8=0,"H","")&amp;IF(AA8=1,"S","")&amp;IF(AA8=2,"A","")&amp;IF(AA8=3,"T","")</f>
        <v>H</v>
      </c>
      <c r="AC8" s="27">
        <f t="shared" si="20"/>
        <v>4</v>
      </c>
      <c r="AD8" s="26">
        <f t="shared" si="21"/>
        <v>2045</v>
      </c>
      <c r="AE8" s="25">
        <f t="shared" si="6"/>
        <v>3</v>
      </c>
      <c r="AF8" s="22" t="str">
        <f t="shared" ref="AF8:AF14" si="35">IF(AE8=0,"H","")&amp;IF(AE8=1,"S","")&amp;IF(AE8=2,"A","")&amp;IF(AE8=3,"T","")</f>
        <v>T</v>
      </c>
      <c r="AG8" s="27">
        <f t="shared" si="22"/>
        <v>4</v>
      </c>
      <c r="AH8" s="26">
        <f t="shared" si="23"/>
        <v>2036</v>
      </c>
      <c r="AI8" s="25">
        <f t="shared" si="7"/>
        <v>2</v>
      </c>
      <c r="AJ8" s="22" t="str">
        <f t="shared" ref="AJ8:AJ14" si="36">IF(AI8=0,"H","")&amp;IF(AI8=1,"S","")&amp;IF(AI8=2,"A","")&amp;IF(AI8=3,"T","")</f>
        <v>A</v>
      </c>
      <c r="AK8" s="27">
        <f t="shared" si="24"/>
        <v>4</v>
      </c>
      <c r="AL8" s="26">
        <f t="shared" si="25"/>
        <v>2027</v>
      </c>
      <c r="AM8" s="25">
        <f t="shared" si="8"/>
        <v>1</v>
      </c>
      <c r="AN8" s="22" t="str">
        <f t="shared" ref="AN8:AN14" si="37">IF(AM8=0,"H","")&amp;IF(AM8=1,"S","")&amp;IF(AM8=2,"A","")&amp;IF(AM8=3,"T","")</f>
        <v>S</v>
      </c>
      <c r="AO8" s="27">
        <f t="shared" si="26"/>
        <v>4</v>
      </c>
      <c r="AP8" s="26">
        <f t="shared" ref="AP8:AP14" si="38">AP7+1</f>
        <v>2018</v>
      </c>
      <c r="AQ8" s="25">
        <f t="shared" si="27"/>
        <v>0</v>
      </c>
      <c r="AR8" s="22" t="str">
        <f t="shared" ref="AR8:AR13" si="39">IF(AQ8=-1,"X","")&amp;IF(AQ8=0,"H","")&amp;IF(AQ8=1,"S","")&amp;IF(AQ8=2,"A","")&amp;IF(AQ8=3,"T","")</f>
        <v>H</v>
      </c>
      <c r="AS8" s="28">
        <f t="shared" si="28"/>
        <v>4</v>
      </c>
      <c r="AT8" s="1"/>
    </row>
    <row r="9" spans="1:46" ht="17.25" customHeight="1" x14ac:dyDescent="0.25">
      <c r="A9" s="1"/>
      <c r="B9" s="4"/>
      <c r="C9" s="4"/>
      <c r="D9" s="4"/>
      <c r="E9" s="1"/>
      <c r="F9" s="24">
        <f t="shared" si="9"/>
        <v>2100</v>
      </c>
      <c r="G9" s="25">
        <f t="shared" si="0"/>
        <v>1</v>
      </c>
      <c r="H9" s="22" t="str">
        <f t="shared" si="29"/>
        <v>S</v>
      </c>
      <c r="I9" s="25">
        <f t="shared" si="10"/>
        <v>5</v>
      </c>
      <c r="J9" s="26">
        <f t="shared" si="11"/>
        <v>2091</v>
      </c>
      <c r="K9" s="25">
        <f t="shared" si="1"/>
        <v>0</v>
      </c>
      <c r="L9" s="22" t="str">
        <f t="shared" si="30"/>
        <v>H</v>
      </c>
      <c r="M9" s="25">
        <f t="shared" si="12"/>
        <v>5</v>
      </c>
      <c r="N9" s="26">
        <f t="shared" si="13"/>
        <v>2082</v>
      </c>
      <c r="O9" s="25">
        <f t="shared" si="2"/>
        <v>3</v>
      </c>
      <c r="P9" s="22" t="str">
        <f t="shared" si="31"/>
        <v>T</v>
      </c>
      <c r="Q9" s="25">
        <f t="shared" si="14"/>
        <v>5</v>
      </c>
      <c r="R9" s="26">
        <f t="shared" si="15"/>
        <v>2073</v>
      </c>
      <c r="S9" s="25">
        <f t="shared" si="3"/>
        <v>2</v>
      </c>
      <c r="T9" s="22" t="str">
        <f t="shared" si="32"/>
        <v>A</v>
      </c>
      <c r="U9" s="25">
        <f t="shared" si="16"/>
        <v>5</v>
      </c>
      <c r="V9" s="26">
        <f t="shared" si="17"/>
        <v>2064</v>
      </c>
      <c r="W9" s="25">
        <f t="shared" si="4"/>
        <v>1</v>
      </c>
      <c r="X9" s="22" t="str">
        <f t="shared" si="33"/>
        <v>S</v>
      </c>
      <c r="Y9" s="27">
        <f t="shared" si="18"/>
        <v>5</v>
      </c>
      <c r="Z9" s="26">
        <f t="shared" si="19"/>
        <v>2055</v>
      </c>
      <c r="AA9" s="25">
        <f t="shared" si="5"/>
        <v>0</v>
      </c>
      <c r="AB9" s="22" t="str">
        <f t="shared" si="34"/>
        <v>H</v>
      </c>
      <c r="AC9" s="27">
        <f t="shared" si="20"/>
        <v>5</v>
      </c>
      <c r="AD9" s="26">
        <f t="shared" si="21"/>
        <v>2046</v>
      </c>
      <c r="AE9" s="25">
        <f t="shared" si="6"/>
        <v>3</v>
      </c>
      <c r="AF9" s="22" t="str">
        <f t="shared" si="35"/>
        <v>T</v>
      </c>
      <c r="AG9" s="27">
        <f t="shared" si="22"/>
        <v>5</v>
      </c>
      <c r="AH9" s="26">
        <f t="shared" si="23"/>
        <v>2037</v>
      </c>
      <c r="AI9" s="25">
        <f t="shared" si="7"/>
        <v>2</v>
      </c>
      <c r="AJ9" s="22" t="str">
        <f t="shared" si="36"/>
        <v>A</v>
      </c>
      <c r="AK9" s="27">
        <f t="shared" si="24"/>
        <v>5</v>
      </c>
      <c r="AL9" s="26">
        <f t="shared" si="25"/>
        <v>2028</v>
      </c>
      <c r="AM9" s="25">
        <f>MOD(AQ9+1,4)</f>
        <v>1</v>
      </c>
      <c r="AN9" s="22" t="str">
        <f t="shared" si="37"/>
        <v>S</v>
      </c>
      <c r="AO9" s="27">
        <f t="shared" si="26"/>
        <v>5</v>
      </c>
      <c r="AP9" s="26">
        <f t="shared" si="38"/>
        <v>2019</v>
      </c>
      <c r="AQ9" s="25">
        <f t="shared" si="27"/>
        <v>0</v>
      </c>
      <c r="AR9" s="22" t="str">
        <f t="shared" si="39"/>
        <v>H</v>
      </c>
      <c r="AS9" s="28">
        <f t="shared" si="28"/>
        <v>5</v>
      </c>
      <c r="AT9" s="1"/>
    </row>
    <row r="10" spans="1:46" ht="17.25" customHeight="1" thickBot="1" x14ac:dyDescent="0.3">
      <c r="A10" s="1"/>
      <c r="B10" s="6"/>
      <c r="C10" s="6"/>
      <c r="D10" s="6"/>
      <c r="E10" s="1"/>
      <c r="F10" s="24">
        <f t="shared" si="9"/>
        <v>2101</v>
      </c>
      <c r="G10" s="25">
        <f t="shared" si="0"/>
        <v>1</v>
      </c>
      <c r="H10" s="22" t="str">
        <f t="shared" si="29"/>
        <v>S</v>
      </c>
      <c r="I10" s="25">
        <f t="shared" si="10"/>
        <v>6</v>
      </c>
      <c r="J10" s="26">
        <f t="shared" si="11"/>
        <v>2092</v>
      </c>
      <c r="K10" s="25">
        <f t="shared" si="1"/>
        <v>0</v>
      </c>
      <c r="L10" s="22" t="str">
        <f t="shared" si="30"/>
        <v>H</v>
      </c>
      <c r="M10" s="25">
        <f t="shared" si="12"/>
        <v>6</v>
      </c>
      <c r="N10" s="26">
        <f t="shared" si="13"/>
        <v>2083</v>
      </c>
      <c r="O10" s="25">
        <f t="shared" si="2"/>
        <v>3</v>
      </c>
      <c r="P10" s="22" t="str">
        <f t="shared" si="31"/>
        <v>T</v>
      </c>
      <c r="Q10" s="25">
        <f t="shared" si="14"/>
        <v>6</v>
      </c>
      <c r="R10" s="26">
        <f t="shared" si="15"/>
        <v>2074</v>
      </c>
      <c r="S10" s="25">
        <f t="shared" si="3"/>
        <v>2</v>
      </c>
      <c r="T10" s="22" t="str">
        <f t="shared" si="32"/>
        <v>A</v>
      </c>
      <c r="U10" s="25">
        <f t="shared" si="16"/>
        <v>6</v>
      </c>
      <c r="V10" s="26">
        <f t="shared" si="17"/>
        <v>2065</v>
      </c>
      <c r="W10" s="25">
        <f t="shared" si="4"/>
        <v>1</v>
      </c>
      <c r="X10" s="22" t="str">
        <f t="shared" si="33"/>
        <v>S</v>
      </c>
      <c r="Y10" s="27">
        <f t="shared" si="18"/>
        <v>6</v>
      </c>
      <c r="Z10" s="26">
        <f t="shared" si="19"/>
        <v>2056</v>
      </c>
      <c r="AA10" s="25">
        <f t="shared" si="5"/>
        <v>0</v>
      </c>
      <c r="AB10" s="22" t="str">
        <f t="shared" si="34"/>
        <v>H</v>
      </c>
      <c r="AC10" s="27">
        <f t="shared" si="20"/>
        <v>6</v>
      </c>
      <c r="AD10" s="26">
        <f t="shared" si="21"/>
        <v>2047</v>
      </c>
      <c r="AE10" s="25">
        <f t="shared" si="6"/>
        <v>3</v>
      </c>
      <c r="AF10" s="22" t="str">
        <f t="shared" si="35"/>
        <v>T</v>
      </c>
      <c r="AG10" s="27">
        <f t="shared" si="22"/>
        <v>6</v>
      </c>
      <c r="AH10" s="26">
        <f t="shared" si="23"/>
        <v>2038</v>
      </c>
      <c r="AI10" s="25">
        <f t="shared" si="7"/>
        <v>2</v>
      </c>
      <c r="AJ10" s="22" t="str">
        <f t="shared" si="36"/>
        <v>A</v>
      </c>
      <c r="AK10" s="27">
        <f t="shared" si="24"/>
        <v>6</v>
      </c>
      <c r="AL10" s="26">
        <f t="shared" si="25"/>
        <v>2029</v>
      </c>
      <c r="AM10" s="25">
        <f t="shared" ref="AM10:AM14" si="40">MOD(AQ10+1,4)</f>
        <v>1</v>
      </c>
      <c r="AN10" s="22" t="str">
        <f t="shared" si="37"/>
        <v>S</v>
      </c>
      <c r="AO10" s="27">
        <f t="shared" si="26"/>
        <v>6</v>
      </c>
      <c r="AP10" s="26">
        <f t="shared" si="38"/>
        <v>2020</v>
      </c>
      <c r="AQ10" s="25">
        <f t="shared" si="27"/>
        <v>0</v>
      </c>
      <c r="AR10" s="22" t="str">
        <f t="shared" si="39"/>
        <v>H</v>
      </c>
      <c r="AS10" s="28">
        <f t="shared" si="28"/>
        <v>6</v>
      </c>
      <c r="AT10" s="1"/>
    </row>
    <row r="11" spans="1:46" ht="17.25" customHeight="1" thickTop="1" thickBot="1" x14ac:dyDescent="0.3">
      <c r="A11" s="1"/>
      <c r="B11" s="6"/>
      <c r="C11" s="3">
        <f>SUM(B7+C5+D7)</f>
        <v>11</v>
      </c>
      <c r="D11" s="6"/>
      <c r="E11" s="1"/>
      <c r="F11" s="24">
        <f t="shared" si="9"/>
        <v>2102</v>
      </c>
      <c r="G11" s="25">
        <f t="shared" si="0"/>
        <v>1</v>
      </c>
      <c r="H11" s="22" t="str">
        <f t="shared" si="29"/>
        <v>S</v>
      </c>
      <c r="I11" s="25">
        <f t="shared" si="10"/>
        <v>7</v>
      </c>
      <c r="J11" s="26">
        <f t="shared" si="11"/>
        <v>2093</v>
      </c>
      <c r="K11" s="25">
        <f t="shared" si="1"/>
        <v>0</v>
      </c>
      <c r="L11" s="22" t="str">
        <f t="shared" si="30"/>
        <v>H</v>
      </c>
      <c r="M11" s="25">
        <f t="shared" si="12"/>
        <v>7</v>
      </c>
      <c r="N11" s="26">
        <f t="shared" si="13"/>
        <v>2084</v>
      </c>
      <c r="O11" s="25">
        <f t="shared" si="2"/>
        <v>3</v>
      </c>
      <c r="P11" s="22" t="str">
        <f t="shared" si="31"/>
        <v>T</v>
      </c>
      <c r="Q11" s="25">
        <f t="shared" si="14"/>
        <v>7</v>
      </c>
      <c r="R11" s="26">
        <f t="shared" si="15"/>
        <v>2075</v>
      </c>
      <c r="S11" s="25">
        <f t="shared" si="3"/>
        <v>2</v>
      </c>
      <c r="T11" s="22" t="str">
        <f t="shared" si="32"/>
        <v>A</v>
      </c>
      <c r="U11" s="25">
        <f t="shared" si="16"/>
        <v>7</v>
      </c>
      <c r="V11" s="26">
        <f t="shared" si="17"/>
        <v>2066</v>
      </c>
      <c r="W11" s="25">
        <f t="shared" si="4"/>
        <v>1</v>
      </c>
      <c r="X11" s="22" t="str">
        <f t="shared" si="33"/>
        <v>S</v>
      </c>
      <c r="Y11" s="27">
        <f t="shared" si="18"/>
        <v>7</v>
      </c>
      <c r="Z11" s="26">
        <f t="shared" si="19"/>
        <v>2057</v>
      </c>
      <c r="AA11" s="25">
        <f t="shared" si="5"/>
        <v>0</v>
      </c>
      <c r="AB11" s="22" t="str">
        <f t="shared" si="34"/>
        <v>H</v>
      </c>
      <c r="AC11" s="27">
        <f t="shared" si="20"/>
        <v>7</v>
      </c>
      <c r="AD11" s="26">
        <f t="shared" si="21"/>
        <v>2048</v>
      </c>
      <c r="AE11" s="25">
        <f t="shared" si="6"/>
        <v>3</v>
      </c>
      <c r="AF11" s="22" t="str">
        <f t="shared" si="35"/>
        <v>T</v>
      </c>
      <c r="AG11" s="27">
        <f t="shared" si="22"/>
        <v>7</v>
      </c>
      <c r="AH11" s="26">
        <f t="shared" si="23"/>
        <v>2039</v>
      </c>
      <c r="AI11" s="25">
        <f t="shared" si="7"/>
        <v>2</v>
      </c>
      <c r="AJ11" s="22" t="str">
        <f t="shared" si="36"/>
        <v>A</v>
      </c>
      <c r="AK11" s="27">
        <f t="shared" si="24"/>
        <v>7</v>
      </c>
      <c r="AL11" s="26">
        <f t="shared" si="25"/>
        <v>2030</v>
      </c>
      <c r="AM11" s="25">
        <f t="shared" si="40"/>
        <v>1</v>
      </c>
      <c r="AN11" s="22" t="str">
        <f t="shared" si="37"/>
        <v>S</v>
      </c>
      <c r="AO11" s="27">
        <f t="shared" si="26"/>
        <v>7</v>
      </c>
      <c r="AP11" s="26">
        <f t="shared" si="38"/>
        <v>2021</v>
      </c>
      <c r="AQ11" s="25">
        <f t="shared" si="27"/>
        <v>0</v>
      </c>
      <c r="AR11" s="22" t="str">
        <f t="shared" si="39"/>
        <v>H</v>
      </c>
      <c r="AS11" s="28">
        <f t="shared" si="28"/>
        <v>7</v>
      </c>
      <c r="AT11" s="1"/>
    </row>
    <row r="12" spans="1:46" ht="17.25" customHeight="1" thickTop="1" thickBot="1" x14ac:dyDescent="0.3">
      <c r="A12" s="1"/>
      <c r="B12" s="5"/>
      <c r="C12" s="5"/>
      <c r="D12" s="5"/>
      <c r="E12" s="1"/>
      <c r="F12" s="24">
        <f t="shared" si="9"/>
        <v>2103</v>
      </c>
      <c r="G12" s="25">
        <f t="shared" si="0"/>
        <v>1</v>
      </c>
      <c r="H12" s="22" t="str">
        <f t="shared" si="29"/>
        <v>S</v>
      </c>
      <c r="I12" s="25">
        <f t="shared" si="10"/>
        <v>8</v>
      </c>
      <c r="J12" s="26">
        <f t="shared" si="11"/>
        <v>2094</v>
      </c>
      <c r="K12" s="25">
        <f t="shared" si="1"/>
        <v>0</v>
      </c>
      <c r="L12" s="22" t="str">
        <f t="shared" si="30"/>
        <v>H</v>
      </c>
      <c r="M12" s="25">
        <f t="shared" si="12"/>
        <v>8</v>
      </c>
      <c r="N12" s="26">
        <f t="shared" si="13"/>
        <v>2085</v>
      </c>
      <c r="O12" s="25">
        <f t="shared" si="2"/>
        <v>3</v>
      </c>
      <c r="P12" s="22" t="str">
        <f t="shared" si="31"/>
        <v>T</v>
      </c>
      <c r="Q12" s="25">
        <f t="shared" si="14"/>
        <v>8</v>
      </c>
      <c r="R12" s="26">
        <f t="shared" si="15"/>
        <v>2076</v>
      </c>
      <c r="S12" s="25">
        <f t="shared" si="3"/>
        <v>2</v>
      </c>
      <c r="T12" s="22" t="str">
        <f t="shared" si="32"/>
        <v>A</v>
      </c>
      <c r="U12" s="25">
        <f t="shared" si="16"/>
        <v>8</v>
      </c>
      <c r="V12" s="26">
        <f t="shared" si="17"/>
        <v>2067</v>
      </c>
      <c r="W12" s="25">
        <f t="shared" si="4"/>
        <v>1</v>
      </c>
      <c r="X12" s="22" t="str">
        <f t="shared" si="33"/>
        <v>S</v>
      </c>
      <c r="Y12" s="27">
        <f t="shared" si="18"/>
        <v>8</v>
      </c>
      <c r="Z12" s="26">
        <f t="shared" si="19"/>
        <v>2058</v>
      </c>
      <c r="AA12" s="25">
        <f t="shared" si="5"/>
        <v>0</v>
      </c>
      <c r="AB12" s="22" t="str">
        <f t="shared" si="34"/>
        <v>H</v>
      </c>
      <c r="AC12" s="27">
        <f t="shared" si="20"/>
        <v>8</v>
      </c>
      <c r="AD12" s="26">
        <f t="shared" si="21"/>
        <v>2049</v>
      </c>
      <c r="AE12" s="25">
        <f t="shared" si="6"/>
        <v>3</v>
      </c>
      <c r="AF12" s="22" t="str">
        <f t="shared" si="35"/>
        <v>T</v>
      </c>
      <c r="AG12" s="27">
        <f t="shared" si="22"/>
        <v>8</v>
      </c>
      <c r="AH12" s="26">
        <f t="shared" si="23"/>
        <v>2040</v>
      </c>
      <c r="AI12" s="25">
        <f t="shared" si="7"/>
        <v>2</v>
      </c>
      <c r="AJ12" s="22" t="str">
        <f t="shared" si="36"/>
        <v>A</v>
      </c>
      <c r="AK12" s="27">
        <f t="shared" si="24"/>
        <v>8</v>
      </c>
      <c r="AL12" s="26">
        <f t="shared" si="25"/>
        <v>2031</v>
      </c>
      <c r="AM12" s="25">
        <f t="shared" si="40"/>
        <v>1</v>
      </c>
      <c r="AN12" s="22" t="str">
        <f t="shared" si="37"/>
        <v>S</v>
      </c>
      <c r="AO12" s="27">
        <f t="shared" si="26"/>
        <v>8</v>
      </c>
      <c r="AP12" s="26">
        <f t="shared" si="38"/>
        <v>2022</v>
      </c>
      <c r="AQ12" s="25">
        <f t="shared" si="27"/>
        <v>0</v>
      </c>
      <c r="AR12" s="22" t="str">
        <f t="shared" si="39"/>
        <v>H</v>
      </c>
      <c r="AS12" s="28">
        <f t="shared" si="28"/>
        <v>8</v>
      </c>
      <c r="AT12" s="1"/>
    </row>
    <row r="13" spans="1:46" ht="17.25" customHeight="1" thickTop="1" x14ac:dyDescent="0.25">
      <c r="A13" s="1"/>
      <c r="B13" s="187">
        <f>D3</f>
        <v>2016</v>
      </c>
      <c r="C13" s="194">
        <f>SumDigits(SumDigits(B7+C5+D7))</f>
        <v>2</v>
      </c>
      <c r="D13" s="189" t="s">
        <v>21</v>
      </c>
      <c r="E13" s="1"/>
      <c r="F13" s="24">
        <f t="shared" si="9"/>
        <v>2104</v>
      </c>
      <c r="G13" s="25">
        <f t="shared" si="0"/>
        <v>1</v>
      </c>
      <c r="H13" s="22" t="str">
        <f t="shared" si="29"/>
        <v>S</v>
      </c>
      <c r="I13" s="25">
        <f t="shared" si="10"/>
        <v>9</v>
      </c>
      <c r="J13" s="26">
        <f t="shared" si="11"/>
        <v>2095</v>
      </c>
      <c r="K13" s="25">
        <f t="shared" si="1"/>
        <v>0</v>
      </c>
      <c r="L13" s="22" t="str">
        <f t="shared" si="30"/>
        <v>H</v>
      </c>
      <c r="M13" s="25">
        <f t="shared" si="12"/>
        <v>9</v>
      </c>
      <c r="N13" s="26">
        <f t="shared" si="13"/>
        <v>2086</v>
      </c>
      <c r="O13" s="25">
        <f t="shared" si="2"/>
        <v>3</v>
      </c>
      <c r="P13" s="22" t="str">
        <f t="shared" si="31"/>
        <v>T</v>
      </c>
      <c r="Q13" s="25">
        <f t="shared" si="14"/>
        <v>9</v>
      </c>
      <c r="R13" s="26">
        <f t="shared" si="15"/>
        <v>2077</v>
      </c>
      <c r="S13" s="25">
        <f t="shared" si="3"/>
        <v>2</v>
      </c>
      <c r="T13" s="22" t="str">
        <f t="shared" si="32"/>
        <v>A</v>
      </c>
      <c r="U13" s="25">
        <f t="shared" si="16"/>
        <v>9</v>
      </c>
      <c r="V13" s="26">
        <f t="shared" si="17"/>
        <v>2068</v>
      </c>
      <c r="W13" s="25">
        <f t="shared" si="4"/>
        <v>1</v>
      </c>
      <c r="X13" s="22" t="str">
        <f t="shared" si="33"/>
        <v>S</v>
      </c>
      <c r="Y13" s="27">
        <f t="shared" si="18"/>
        <v>9</v>
      </c>
      <c r="Z13" s="26">
        <f t="shared" si="19"/>
        <v>2059</v>
      </c>
      <c r="AA13" s="25">
        <f t="shared" si="5"/>
        <v>0</v>
      </c>
      <c r="AB13" s="22" t="str">
        <f t="shared" si="34"/>
        <v>H</v>
      </c>
      <c r="AC13" s="27">
        <f t="shared" si="20"/>
        <v>9</v>
      </c>
      <c r="AD13" s="26">
        <f t="shared" si="21"/>
        <v>2050</v>
      </c>
      <c r="AE13" s="25">
        <f t="shared" si="6"/>
        <v>3</v>
      </c>
      <c r="AF13" s="22" t="str">
        <f t="shared" si="35"/>
        <v>T</v>
      </c>
      <c r="AG13" s="27">
        <f t="shared" si="22"/>
        <v>9</v>
      </c>
      <c r="AH13" s="26">
        <f t="shared" si="23"/>
        <v>2041</v>
      </c>
      <c r="AI13" s="25">
        <f t="shared" si="7"/>
        <v>2</v>
      </c>
      <c r="AJ13" s="22" t="str">
        <f t="shared" si="36"/>
        <v>A</v>
      </c>
      <c r="AK13" s="27">
        <f t="shared" si="24"/>
        <v>9</v>
      </c>
      <c r="AL13" s="26">
        <f t="shared" si="25"/>
        <v>2032</v>
      </c>
      <c r="AM13" s="25">
        <f t="shared" si="40"/>
        <v>1</v>
      </c>
      <c r="AN13" s="22" t="str">
        <f t="shared" si="37"/>
        <v>S</v>
      </c>
      <c r="AO13" s="27">
        <f t="shared" si="26"/>
        <v>9</v>
      </c>
      <c r="AP13" s="26">
        <f t="shared" si="38"/>
        <v>2023</v>
      </c>
      <c r="AQ13" s="25">
        <f t="shared" si="27"/>
        <v>0</v>
      </c>
      <c r="AR13" s="22" t="str">
        <f t="shared" si="39"/>
        <v>H</v>
      </c>
      <c r="AS13" s="28">
        <f t="shared" si="28"/>
        <v>9</v>
      </c>
      <c r="AT13" s="1"/>
    </row>
    <row r="14" spans="1:46" ht="17.25" customHeight="1" thickBot="1" x14ac:dyDescent="0.3">
      <c r="A14" s="1"/>
      <c r="B14" s="188"/>
      <c r="C14" s="195"/>
      <c r="D14" s="190"/>
      <c r="E14" s="1"/>
      <c r="F14" s="29">
        <f t="shared" si="9"/>
        <v>2105</v>
      </c>
      <c r="G14" s="30">
        <f t="shared" si="0"/>
        <v>1</v>
      </c>
      <c r="H14" s="31" t="str">
        <f t="shared" si="29"/>
        <v>S</v>
      </c>
      <c r="I14" s="89">
        <f t="shared" si="10"/>
        <v>1</v>
      </c>
      <c r="J14" s="32">
        <f t="shared" si="11"/>
        <v>2096</v>
      </c>
      <c r="K14" s="30">
        <f t="shared" si="1"/>
        <v>0</v>
      </c>
      <c r="L14" s="31" t="str">
        <f t="shared" si="30"/>
        <v>H</v>
      </c>
      <c r="M14" s="89">
        <f t="shared" si="12"/>
        <v>1</v>
      </c>
      <c r="N14" s="32">
        <f t="shared" si="13"/>
        <v>2087</v>
      </c>
      <c r="O14" s="30">
        <f t="shared" si="2"/>
        <v>3</v>
      </c>
      <c r="P14" s="31" t="str">
        <f t="shared" si="31"/>
        <v>T</v>
      </c>
      <c r="Q14" s="89">
        <f t="shared" si="14"/>
        <v>1</v>
      </c>
      <c r="R14" s="32">
        <f t="shared" si="15"/>
        <v>2078</v>
      </c>
      <c r="S14" s="30">
        <f t="shared" si="3"/>
        <v>2</v>
      </c>
      <c r="T14" s="31" t="str">
        <f t="shared" si="32"/>
        <v>A</v>
      </c>
      <c r="U14" s="89">
        <f t="shared" si="16"/>
        <v>1</v>
      </c>
      <c r="V14" s="32">
        <f t="shared" si="17"/>
        <v>2069</v>
      </c>
      <c r="W14" s="30">
        <f t="shared" si="4"/>
        <v>1</v>
      </c>
      <c r="X14" s="31" t="str">
        <f t="shared" si="33"/>
        <v>S</v>
      </c>
      <c r="Y14" s="88">
        <f t="shared" si="18"/>
        <v>1</v>
      </c>
      <c r="Z14" s="32">
        <f t="shared" si="19"/>
        <v>2060</v>
      </c>
      <c r="AA14" s="30">
        <f t="shared" si="5"/>
        <v>0</v>
      </c>
      <c r="AB14" s="31" t="str">
        <f t="shared" si="34"/>
        <v>H</v>
      </c>
      <c r="AC14" s="88">
        <f t="shared" si="20"/>
        <v>1</v>
      </c>
      <c r="AD14" s="32">
        <f t="shared" si="21"/>
        <v>2051</v>
      </c>
      <c r="AE14" s="30">
        <f t="shared" si="6"/>
        <v>3</v>
      </c>
      <c r="AF14" s="31" t="str">
        <f t="shared" si="35"/>
        <v>T</v>
      </c>
      <c r="AG14" s="88">
        <f t="shared" si="22"/>
        <v>1</v>
      </c>
      <c r="AH14" s="32">
        <f t="shared" si="23"/>
        <v>2042</v>
      </c>
      <c r="AI14" s="30">
        <f t="shared" si="7"/>
        <v>2</v>
      </c>
      <c r="AJ14" s="31" t="str">
        <f t="shared" si="36"/>
        <v>A</v>
      </c>
      <c r="AK14" s="88">
        <f t="shared" si="24"/>
        <v>1</v>
      </c>
      <c r="AL14" s="32">
        <f t="shared" si="25"/>
        <v>2033</v>
      </c>
      <c r="AM14" s="30">
        <f t="shared" si="40"/>
        <v>1</v>
      </c>
      <c r="AN14" s="31" t="str">
        <f t="shared" si="37"/>
        <v>S</v>
      </c>
      <c r="AO14" s="88">
        <f t="shared" si="26"/>
        <v>1</v>
      </c>
      <c r="AP14" s="32">
        <f t="shared" si="38"/>
        <v>2024</v>
      </c>
      <c r="AQ14" s="30">
        <f t="shared" si="27"/>
        <v>0</v>
      </c>
      <c r="AR14" s="31" t="str">
        <f>IF(AQ14=-1,"X","")&amp;IF(AQ14=0,"H","")&amp;IF(AQ14=1,"S","")&amp;IF(AQ14=2,"A","")&amp;IF(AQ14=3,"T","")</f>
        <v>H</v>
      </c>
      <c r="AS14" s="87">
        <f t="shared" si="28"/>
        <v>1</v>
      </c>
      <c r="AT14" s="1"/>
    </row>
    <row r="15" spans="1:46" ht="6.75" customHeight="1" thickTop="1" thickBot="1" x14ac:dyDescent="0.3">
      <c r="A15" s="1"/>
      <c r="B15" s="222">
        <f>DATE(D3,C3,B3)</f>
        <v>42370</v>
      </c>
      <c r="C15" s="223"/>
      <c r="D15" s="223"/>
      <c r="E15" s="1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1"/>
    </row>
    <row r="16" spans="1:46" ht="30" customHeight="1" thickTop="1" x14ac:dyDescent="0.25">
      <c r="A16" s="1"/>
      <c r="B16" s="191" t="s">
        <v>15</v>
      </c>
      <c r="C16" s="192"/>
      <c r="D16" s="193"/>
      <c r="E16" s="1"/>
      <c r="F16" s="196" t="s">
        <v>12</v>
      </c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8"/>
      <c r="AT16" s="1"/>
    </row>
    <row r="17" spans="1:46" ht="17.25" customHeight="1" x14ac:dyDescent="0.25">
      <c r="A17" s="1"/>
      <c r="B17" s="224" t="s">
        <v>17</v>
      </c>
      <c r="C17" s="212"/>
      <c r="D17" s="213"/>
      <c r="E17" s="1"/>
      <c r="F17" s="207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/>
      <c r="AF17" s="208"/>
      <c r="AG17" s="208"/>
      <c r="AH17" s="208"/>
      <c r="AI17" s="208"/>
      <c r="AJ17" s="208"/>
      <c r="AK17" s="208"/>
      <c r="AL17" s="208"/>
      <c r="AM17" s="208"/>
      <c r="AN17" s="208"/>
      <c r="AO17" s="208"/>
      <c r="AP17" s="208"/>
      <c r="AQ17" s="208"/>
      <c r="AR17" s="208"/>
      <c r="AS17" s="209"/>
      <c r="AT17" s="1"/>
    </row>
    <row r="18" spans="1:46" ht="17.25" customHeight="1" x14ac:dyDescent="0.25">
      <c r="A18" s="1"/>
      <c r="B18" s="225"/>
      <c r="C18" s="214"/>
      <c r="D18" s="215"/>
      <c r="E18" s="1"/>
      <c r="F18" s="151" t="s">
        <v>5</v>
      </c>
      <c r="G18" s="137"/>
      <c r="H18" s="137"/>
      <c r="I18" s="137"/>
      <c r="J18" s="137"/>
      <c r="K18" s="137"/>
      <c r="L18" s="137"/>
      <c r="M18" s="137"/>
      <c r="N18" s="137" t="s">
        <v>6</v>
      </c>
      <c r="O18" s="137"/>
      <c r="P18" s="137"/>
      <c r="Q18" s="137"/>
      <c r="R18" s="137"/>
      <c r="S18" s="137"/>
      <c r="T18" s="137"/>
      <c r="U18" s="137"/>
      <c r="V18" s="137" t="s">
        <v>7</v>
      </c>
      <c r="W18" s="137"/>
      <c r="X18" s="137"/>
      <c r="Y18" s="137"/>
      <c r="Z18" s="137"/>
      <c r="AA18" s="137"/>
      <c r="AB18" s="137"/>
      <c r="AC18" s="137"/>
      <c r="AD18" s="137" t="s">
        <v>8</v>
      </c>
      <c r="AE18" s="137"/>
      <c r="AF18" s="137"/>
      <c r="AG18" s="137"/>
      <c r="AH18" s="137"/>
      <c r="AI18" s="137"/>
      <c r="AJ18" s="137"/>
      <c r="AK18" s="137"/>
      <c r="AL18" s="137" t="s">
        <v>9</v>
      </c>
      <c r="AM18" s="137"/>
      <c r="AN18" s="137"/>
      <c r="AO18" s="137"/>
      <c r="AP18" s="137"/>
      <c r="AQ18" s="137"/>
      <c r="AR18" s="137"/>
      <c r="AS18" s="138"/>
      <c r="AT18" s="1"/>
    </row>
    <row r="19" spans="1:46" ht="15.75" customHeight="1" x14ac:dyDescent="0.25">
      <c r="A19" s="1"/>
      <c r="B19" s="210" t="s">
        <v>14</v>
      </c>
      <c r="C19" s="212"/>
      <c r="D19" s="213"/>
      <c r="E19" s="1"/>
      <c r="F19" s="152">
        <f>B7</f>
        <v>1</v>
      </c>
      <c r="G19" s="146"/>
      <c r="H19" s="146"/>
      <c r="I19" s="146"/>
      <c r="J19" s="146"/>
      <c r="K19" s="146"/>
      <c r="L19" s="146"/>
      <c r="M19" s="146"/>
      <c r="N19" s="141">
        <f>C5</f>
        <v>1</v>
      </c>
      <c r="O19" s="141"/>
      <c r="P19" s="141"/>
      <c r="Q19" s="141"/>
      <c r="R19" s="141"/>
      <c r="S19" s="141"/>
      <c r="T19" s="141"/>
      <c r="U19" s="141"/>
      <c r="V19" s="141">
        <f>D7</f>
        <v>9</v>
      </c>
      <c r="W19" s="141"/>
      <c r="X19" s="141"/>
      <c r="Y19" s="141"/>
      <c r="Z19" s="141"/>
      <c r="AA19" s="141"/>
      <c r="AB19" s="141"/>
      <c r="AC19" s="141"/>
      <c r="AD19" s="141">
        <f>C13</f>
        <v>2</v>
      </c>
      <c r="AE19" s="141"/>
      <c r="AF19" s="141"/>
      <c r="AG19" s="141"/>
      <c r="AH19" s="141"/>
      <c r="AI19" s="141"/>
      <c r="AJ19" s="141"/>
      <c r="AK19" s="141"/>
      <c r="AL19" s="141">
        <f>SumDigits(SumDigits(F19+AD19))</f>
        <v>3</v>
      </c>
      <c r="AM19" s="141"/>
      <c r="AN19" s="141"/>
      <c r="AO19" s="141"/>
      <c r="AP19" s="141"/>
      <c r="AQ19" s="141"/>
      <c r="AR19" s="141"/>
      <c r="AS19" s="143"/>
      <c r="AT19" s="1"/>
    </row>
    <row r="20" spans="1:46" ht="15.75" customHeight="1" x14ac:dyDescent="0.25">
      <c r="A20" s="1"/>
      <c r="B20" s="211"/>
      <c r="C20" s="214"/>
      <c r="D20" s="215"/>
      <c r="E20" s="1"/>
      <c r="F20" s="152"/>
      <c r="G20" s="146"/>
      <c r="H20" s="146"/>
      <c r="I20" s="146"/>
      <c r="J20" s="146"/>
      <c r="K20" s="146"/>
      <c r="L20" s="146"/>
      <c r="M20" s="146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3"/>
      <c r="AT20" s="1"/>
    </row>
    <row r="21" spans="1:46" ht="18.75" customHeight="1" x14ac:dyDescent="0.25">
      <c r="A21" s="1"/>
      <c r="B21" s="216" t="s">
        <v>16</v>
      </c>
      <c r="C21" s="218"/>
      <c r="D21" s="219"/>
      <c r="E21" s="1"/>
      <c r="F21" s="8"/>
      <c r="G21" s="9"/>
      <c r="H21" s="9"/>
      <c r="I21" s="9"/>
      <c r="J21" s="144" t="s">
        <v>10</v>
      </c>
      <c r="K21" s="137"/>
      <c r="L21" s="137"/>
      <c r="M21" s="137"/>
      <c r="N21" s="137"/>
      <c r="O21" s="137"/>
      <c r="P21" s="137"/>
      <c r="Q21" s="137"/>
      <c r="R21" s="137" t="s">
        <v>11</v>
      </c>
      <c r="S21" s="137"/>
      <c r="T21" s="137"/>
      <c r="U21" s="137"/>
      <c r="V21" s="137"/>
      <c r="W21" s="137"/>
      <c r="X21" s="137"/>
      <c r="Y21" s="145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10"/>
      <c r="AT21" s="1"/>
    </row>
    <row r="22" spans="1:46" ht="30.75" customHeight="1" x14ac:dyDescent="0.25">
      <c r="A22" s="1"/>
      <c r="B22" s="217"/>
      <c r="C22" s="220"/>
      <c r="D22" s="221"/>
      <c r="E22" s="1"/>
      <c r="F22" s="8"/>
      <c r="G22" s="9"/>
      <c r="H22" s="9"/>
      <c r="I22" s="9"/>
      <c r="J22" s="140">
        <f>SumDigits(SumDigits(F19+N19))</f>
        <v>2</v>
      </c>
      <c r="K22" s="141"/>
      <c r="L22" s="141"/>
      <c r="M22" s="141"/>
      <c r="N22" s="141"/>
      <c r="O22" s="141"/>
      <c r="P22" s="141"/>
      <c r="Q22" s="141"/>
      <c r="R22" s="146">
        <f>SumDigits(SumDigits(N19+V19))</f>
        <v>1</v>
      </c>
      <c r="S22" s="146"/>
      <c r="T22" s="146"/>
      <c r="U22" s="146"/>
      <c r="V22" s="146"/>
      <c r="W22" s="146"/>
      <c r="X22" s="146"/>
      <c r="Y22" s="147"/>
      <c r="Z22" s="11"/>
      <c r="AA22" s="11"/>
      <c r="AB22" s="11"/>
      <c r="AC22" s="9"/>
      <c r="AD22" s="9"/>
      <c r="AE22" s="9"/>
      <c r="AF22" s="9"/>
      <c r="AG22" s="9"/>
      <c r="AH22" s="139"/>
      <c r="AI22" s="139"/>
      <c r="AJ22" s="139"/>
      <c r="AK22" s="139"/>
      <c r="AL22" s="139"/>
      <c r="AM22" s="139"/>
      <c r="AN22" s="139"/>
      <c r="AO22" s="139"/>
      <c r="AP22" s="9"/>
      <c r="AQ22" s="9"/>
      <c r="AR22" s="9"/>
      <c r="AS22" s="10"/>
      <c r="AT22" s="1"/>
    </row>
    <row r="23" spans="1:46" ht="18.75" customHeight="1" x14ac:dyDescent="0.25">
      <c r="A23" s="1"/>
      <c r="B23" s="66" t="s">
        <v>13</v>
      </c>
      <c r="C23" s="68"/>
      <c r="D23" s="67"/>
      <c r="E23" s="1"/>
      <c r="F23" s="8"/>
      <c r="G23" s="9"/>
      <c r="H23" s="9"/>
      <c r="I23" s="9"/>
      <c r="J23" s="9"/>
      <c r="K23" s="9"/>
      <c r="L23" s="9"/>
      <c r="M23" s="9"/>
      <c r="N23" s="144" t="s">
        <v>18</v>
      </c>
      <c r="O23" s="137"/>
      <c r="P23" s="137"/>
      <c r="Q23" s="137"/>
      <c r="R23" s="137"/>
      <c r="S23" s="137"/>
      <c r="T23" s="137"/>
      <c r="U23" s="145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10"/>
      <c r="AT23" s="1"/>
    </row>
    <row r="24" spans="1:46" ht="30.75" customHeight="1" x14ac:dyDescent="0.25">
      <c r="A24" s="1"/>
      <c r="B24" s="171"/>
      <c r="C24" s="172"/>
      <c r="D24" s="173"/>
      <c r="E24" s="1"/>
      <c r="F24" s="77"/>
      <c r="G24" s="11"/>
      <c r="H24" s="11"/>
      <c r="I24" s="11"/>
      <c r="J24" s="11"/>
      <c r="K24" s="11"/>
      <c r="L24" s="11"/>
      <c r="M24" s="11"/>
      <c r="N24" s="140">
        <f>SumDigits(SumDigits(J22+R22))</f>
        <v>3</v>
      </c>
      <c r="O24" s="141"/>
      <c r="P24" s="141"/>
      <c r="Q24" s="141"/>
      <c r="R24" s="141"/>
      <c r="S24" s="141"/>
      <c r="T24" s="141"/>
      <c r="U24" s="142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78"/>
      <c r="AT24" s="1"/>
    </row>
    <row r="25" spans="1:46" ht="11.25" customHeight="1" x14ac:dyDescent="0.25">
      <c r="A25" s="1"/>
      <c r="B25" s="171"/>
      <c r="C25" s="172"/>
      <c r="D25" s="173"/>
      <c r="E25" s="1"/>
      <c r="F25" s="77"/>
      <c r="G25" s="11"/>
      <c r="H25" s="11"/>
      <c r="I25" s="11"/>
      <c r="J25" s="11"/>
      <c r="K25" s="11"/>
      <c r="L25" s="11"/>
      <c r="M25" s="11"/>
      <c r="N25" s="79"/>
      <c r="O25" s="79"/>
      <c r="P25" s="79"/>
      <c r="Q25" s="79"/>
      <c r="R25" s="84"/>
      <c r="S25" s="79"/>
      <c r="T25" s="79"/>
      <c r="U25" s="79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78"/>
      <c r="AT25" s="1"/>
    </row>
    <row r="26" spans="1:46" ht="18.75" customHeight="1" x14ac:dyDescent="0.25">
      <c r="A26" s="1"/>
      <c r="B26" s="171"/>
      <c r="C26" s="172"/>
      <c r="D26" s="173"/>
      <c r="E26" s="1"/>
      <c r="F26" s="77"/>
      <c r="G26" s="11"/>
      <c r="H26" s="11"/>
      <c r="I26" s="11"/>
      <c r="J26" s="11"/>
      <c r="K26" s="11"/>
      <c r="L26" s="11"/>
      <c r="M26" s="11"/>
      <c r="N26" s="144" t="s">
        <v>47</v>
      </c>
      <c r="O26" s="137"/>
      <c r="P26" s="137"/>
      <c r="Q26" s="137"/>
      <c r="R26" s="137"/>
      <c r="S26" s="137"/>
      <c r="T26" s="137"/>
      <c r="U26" s="145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78"/>
      <c r="AT26" s="1"/>
    </row>
    <row r="27" spans="1:46" ht="30.75" customHeight="1" thickBot="1" x14ac:dyDescent="0.3">
      <c r="A27" s="1"/>
      <c r="B27" s="171"/>
      <c r="C27" s="172"/>
      <c r="D27" s="173"/>
      <c r="E27" s="1"/>
      <c r="F27" s="12"/>
      <c r="G27" s="13"/>
      <c r="H27" s="13"/>
      <c r="I27" s="13"/>
      <c r="J27" s="13"/>
      <c r="K27" s="13"/>
      <c r="L27" s="13"/>
      <c r="M27" s="13"/>
      <c r="N27" s="184">
        <f>SumDigits(SumDigits(SUM(F19:AS20,J22:Y22,N24)))</f>
        <v>4</v>
      </c>
      <c r="O27" s="185"/>
      <c r="P27" s="185"/>
      <c r="Q27" s="185"/>
      <c r="R27" s="185"/>
      <c r="S27" s="185"/>
      <c r="T27" s="185"/>
      <c r="U27" s="186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4"/>
      <c r="AT27" s="1"/>
    </row>
    <row r="28" spans="1:46" ht="6" customHeight="1" thickTop="1" thickBot="1" x14ac:dyDescent="0.3">
      <c r="A28" s="1"/>
      <c r="B28" s="171"/>
      <c r="C28" s="172"/>
      <c r="D28" s="173"/>
      <c r="E28" s="1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1"/>
    </row>
    <row r="29" spans="1:46" ht="19.5" thickTop="1" x14ac:dyDescent="0.3">
      <c r="A29" s="1"/>
      <c r="B29" s="171"/>
      <c r="C29" s="172"/>
      <c r="D29" s="173"/>
      <c r="E29" s="1"/>
      <c r="F29" s="148"/>
      <c r="G29" s="149"/>
      <c r="H29" s="149"/>
      <c r="I29" s="149"/>
      <c r="J29" s="150" t="s">
        <v>35</v>
      </c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 t="s">
        <v>36</v>
      </c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37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70"/>
      <c r="AT29" s="1"/>
    </row>
    <row r="30" spans="1:46" ht="18.75" x14ac:dyDescent="0.25">
      <c r="A30" s="1"/>
      <c r="B30" s="171"/>
      <c r="C30" s="172"/>
      <c r="D30" s="173"/>
      <c r="E30" s="1"/>
      <c r="F30" s="157" t="s">
        <v>38</v>
      </c>
      <c r="G30" s="158"/>
      <c r="H30" s="158"/>
      <c r="I30" s="159"/>
      <c r="J30" s="160">
        <f ca="1">SumElements(F30)</f>
        <v>3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>
        <f ca="1">SumStatus(F30,V$29)</f>
        <v>3</v>
      </c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1">
        <f ca="1">SumStatus(F30,AH$29)</f>
        <v>0</v>
      </c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62"/>
      <c r="AT30" s="1"/>
    </row>
    <row r="31" spans="1:46" ht="18.75" x14ac:dyDescent="0.25">
      <c r="A31" s="1"/>
      <c r="B31" s="171"/>
      <c r="C31" s="172"/>
      <c r="D31" s="173"/>
      <c r="E31" s="1"/>
      <c r="F31" s="183" t="s">
        <v>39</v>
      </c>
      <c r="G31" s="153"/>
      <c r="H31" s="153"/>
      <c r="I31" s="153"/>
      <c r="J31" s="153">
        <f ca="1">SumElements(F31)</f>
        <v>2</v>
      </c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 t="s">
        <v>44</v>
      </c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>
        <f ca="1">J31</f>
        <v>2</v>
      </c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4"/>
      <c r="AT31" s="1"/>
    </row>
    <row r="32" spans="1:46" ht="18.75" x14ac:dyDescent="0.25">
      <c r="A32" s="1"/>
      <c r="B32" s="171"/>
      <c r="C32" s="172"/>
      <c r="D32" s="173"/>
      <c r="E32" s="1"/>
      <c r="F32" s="155" t="s">
        <v>40</v>
      </c>
      <c r="G32" s="156"/>
      <c r="H32" s="156"/>
      <c r="I32" s="156"/>
      <c r="J32" s="156">
        <f ca="1">SumElements(F32)</f>
        <v>2</v>
      </c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>
        <f ca="1">J32</f>
        <v>2</v>
      </c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 t="s">
        <v>44</v>
      </c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69"/>
      <c r="AT32" s="1"/>
    </row>
    <row r="33" spans="1:46" ht="18.75" x14ac:dyDescent="0.25">
      <c r="A33" s="1"/>
      <c r="B33" s="171"/>
      <c r="C33" s="172"/>
      <c r="D33" s="173"/>
      <c r="E33" s="1"/>
      <c r="F33" s="177" t="s">
        <v>41</v>
      </c>
      <c r="G33" s="178"/>
      <c r="H33" s="178"/>
      <c r="I33" s="178"/>
      <c r="J33" s="178">
        <f ca="1">SumElements(F33)</f>
        <v>0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>
        <f ca="1">SumStatus(F33,V$29)</f>
        <v>0</v>
      </c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f ca="1">SumStatus(F33,AH$29)</f>
        <v>0</v>
      </c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9"/>
      <c r="AT33" s="1"/>
    </row>
    <row r="34" spans="1:46" ht="18.75" x14ac:dyDescent="0.25">
      <c r="A34" s="1"/>
      <c r="B34" s="171"/>
      <c r="C34" s="172"/>
      <c r="D34" s="173"/>
      <c r="E34" s="1"/>
      <c r="F34" s="180" t="s">
        <v>42</v>
      </c>
      <c r="G34" s="181"/>
      <c r="H34" s="181"/>
      <c r="I34" s="181"/>
      <c r="J34" s="181">
        <f ca="1">SumElements(F34)</f>
        <v>1</v>
      </c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>
        <f ca="1">J34/2</f>
        <v>0.5</v>
      </c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>
        <f ca="1">J34/2</f>
        <v>0.5</v>
      </c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2"/>
      <c r="AT34" s="1"/>
    </row>
    <row r="35" spans="1:46" ht="24" thickBot="1" x14ac:dyDescent="0.3">
      <c r="A35" s="1"/>
      <c r="B35" s="174"/>
      <c r="C35" s="175"/>
      <c r="D35" s="176"/>
      <c r="E35" s="1"/>
      <c r="F35" s="163" t="s">
        <v>43</v>
      </c>
      <c r="G35" s="164"/>
      <c r="H35" s="164"/>
      <c r="I35" s="164"/>
      <c r="J35" s="165">
        <f ca="1">SUM(J30:J34)</f>
        <v>8</v>
      </c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7"/>
      <c r="V35" s="165">
        <f ca="1">SUM(V30:V34)</f>
        <v>5.5</v>
      </c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7"/>
      <c r="AH35" s="165">
        <f ca="1">SUM(AH30:AH34)</f>
        <v>2.5</v>
      </c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8"/>
      <c r="AT35" s="1"/>
    </row>
    <row r="36" spans="1:46" ht="6.75" customHeight="1" thickTop="1" x14ac:dyDescent="0.25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1"/>
    </row>
  </sheetData>
  <sheetProtection algorithmName="SHA-512" hashValue="erxxPMxfjlyprMIczd4eycc1L87oW3syXCxNtTqpAKIPhZVgVQvP7WR7YyiYs3W+c84rgKjF2QKZ4KCrLpPjFg==" saltValue="rjKFnnETvDsWgfUpAL/3iQ==" spinCount="100000" sheet="1" objects="1" scenarios="1"/>
  <mergeCells count="71">
    <mergeCell ref="F35:I35"/>
    <mergeCell ref="J35:U35"/>
    <mergeCell ref="V35:AG35"/>
    <mergeCell ref="AH35:AS35"/>
    <mergeCell ref="J33:U33"/>
    <mergeCell ref="V33:AG33"/>
    <mergeCell ref="AH33:AS33"/>
    <mergeCell ref="F34:I34"/>
    <mergeCell ref="J34:U34"/>
    <mergeCell ref="V34:AG34"/>
    <mergeCell ref="AH34:AS34"/>
    <mergeCell ref="V31:AG31"/>
    <mergeCell ref="AH31:AS31"/>
    <mergeCell ref="F32:I32"/>
    <mergeCell ref="J32:U32"/>
    <mergeCell ref="V32:AG32"/>
    <mergeCell ref="AH32:AS32"/>
    <mergeCell ref="V29:AG29"/>
    <mergeCell ref="AH29:AS29"/>
    <mergeCell ref="F30:I30"/>
    <mergeCell ref="J30:U30"/>
    <mergeCell ref="V30:AG30"/>
    <mergeCell ref="AH30:AS30"/>
    <mergeCell ref="N23:U23"/>
    <mergeCell ref="B24:D35"/>
    <mergeCell ref="N24:U24"/>
    <mergeCell ref="N26:U26"/>
    <mergeCell ref="N27:U27"/>
    <mergeCell ref="F29:I29"/>
    <mergeCell ref="J29:U29"/>
    <mergeCell ref="F31:I31"/>
    <mergeCell ref="J31:U31"/>
    <mergeCell ref="F33:I33"/>
    <mergeCell ref="AL19:AS20"/>
    <mergeCell ref="B21:B22"/>
    <mergeCell ref="C21:D22"/>
    <mergeCell ref="J21:Q21"/>
    <mergeCell ref="R21:Y21"/>
    <mergeCell ref="J22:Q22"/>
    <mergeCell ref="R22:Y22"/>
    <mergeCell ref="AH22:AO22"/>
    <mergeCell ref="N18:U18"/>
    <mergeCell ref="V18:AC18"/>
    <mergeCell ref="AD18:AK18"/>
    <mergeCell ref="AL18:AS18"/>
    <mergeCell ref="B19:B20"/>
    <mergeCell ref="C19:D20"/>
    <mergeCell ref="F19:M20"/>
    <mergeCell ref="N19:U20"/>
    <mergeCell ref="V19:AC20"/>
    <mergeCell ref="AD19:AK20"/>
    <mergeCell ref="AP4:AS4"/>
    <mergeCell ref="B13:B14"/>
    <mergeCell ref="C13:C14"/>
    <mergeCell ref="D13:D14"/>
    <mergeCell ref="B15:D15"/>
    <mergeCell ref="B16:D16"/>
    <mergeCell ref="F16:AS17"/>
    <mergeCell ref="B17:B18"/>
    <mergeCell ref="C17:D18"/>
    <mergeCell ref="F18:M18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4">
    <cfRule type="cellIs" dxfId="23" priority="19" operator="equal">
      <formula>YEAR(TODAY())</formula>
    </cfRule>
    <cfRule type="cellIs" dxfId="22" priority="20" operator="equal">
      <formula>"T"</formula>
    </cfRule>
    <cfRule type="cellIs" dxfId="21" priority="21" operator="equal">
      <formula>"A"</formula>
    </cfRule>
    <cfRule type="cellIs" dxfId="20" priority="22" operator="equal">
      <formula>"S"</formula>
    </cfRule>
    <cfRule type="cellIs" dxfId="19" priority="23" operator="equal">
      <formula>"H"</formula>
    </cfRule>
    <cfRule type="cellIs" dxfId="18" priority="24" operator="equal">
      <formula>"X"</formula>
    </cfRule>
  </conditionalFormatting>
  <conditionalFormatting sqref="F19:AS27 F18 N18 V18 AD18 AL18">
    <cfRule type="cellIs" dxfId="17" priority="10" operator="equal">
      <formula>9</formula>
    </cfRule>
    <cfRule type="cellIs" dxfId="16" priority="11" operator="equal">
      <formula>8</formula>
    </cfRule>
    <cfRule type="cellIs" dxfId="15" priority="12" operator="equal">
      <formula>4</formula>
    </cfRule>
    <cfRule type="cellIs" dxfId="14" priority="13" operator="equal">
      <formula>6</formula>
    </cfRule>
    <cfRule type="cellIs" dxfId="13" priority="14" operator="equal">
      <formula>3</formula>
    </cfRule>
    <cfRule type="cellIs" dxfId="12" priority="15" operator="equal">
      <formula>7</formula>
    </cfRule>
    <cfRule type="cellIs" dxfId="11" priority="16" operator="equal">
      <formula>2</formula>
    </cfRule>
    <cfRule type="cellIs" dxfId="10" priority="17" operator="equal">
      <formula>5</formula>
    </cfRule>
    <cfRule type="cellIs" dxfId="9" priority="18" operator="equal">
      <formula>1</formula>
    </cfRule>
  </conditionalFormatting>
  <conditionalFormatting sqref="C13:C14">
    <cfRule type="cellIs" dxfId="8" priority="1" operator="equal">
      <formula>9</formula>
    </cfRule>
    <cfRule type="cellIs" dxfId="7" priority="2" operator="equal">
      <formula>8</formula>
    </cfRule>
    <cfRule type="cellIs" dxfId="6" priority="3" operator="equal">
      <formula>4</formula>
    </cfRule>
    <cfRule type="cellIs" dxfId="5" priority="4" operator="equal">
      <formula>6</formula>
    </cfRule>
    <cfRule type="cellIs" dxfId="4" priority="5" operator="equal">
      <formula>3</formula>
    </cfRule>
    <cfRule type="cellIs" dxfId="3" priority="6" operator="equal">
      <formula>7</formula>
    </cfRule>
    <cfRule type="cellIs" dxfId="2" priority="7" operator="equal">
      <formula>2</formula>
    </cfRule>
    <cfRule type="cellIs" dxfId="1" priority="8" operator="equal">
      <formula>5</formula>
    </cfRule>
    <cfRule type="cellIs" dxfId="0" priority="9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17</vt:i4>
      </vt:variant>
      <vt:variant>
        <vt:lpstr>Adlandırılmış Aralıklar</vt:lpstr>
      </vt:variant>
      <vt:variant>
        <vt:i4>17</vt:i4>
      </vt:variant>
    </vt:vector>
  </HeadingPairs>
  <TitlesOfParts>
    <vt:vector size="34" baseType="lpstr">
      <vt:lpstr>GRUP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'1'!Yazdırma_Alanı</vt:lpstr>
      <vt:lpstr>'10'!Yazdırma_Alanı</vt:lpstr>
      <vt:lpstr>'11'!Yazdırma_Alanı</vt:lpstr>
      <vt:lpstr>'12'!Yazdırma_Alanı</vt:lpstr>
      <vt:lpstr>'13'!Yazdırma_Alanı</vt:lpstr>
      <vt:lpstr>'14'!Yazdırma_Alanı</vt:lpstr>
      <vt:lpstr>'15'!Yazdırma_Alanı</vt:lpstr>
      <vt:lpstr>'16'!Yazdırma_Alanı</vt:lpstr>
      <vt:lpstr>'2'!Yazdırma_Alanı</vt:lpstr>
      <vt:lpstr>'3'!Yazdırma_Alanı</vt:lpstr>
      <vt:lpstr>'4'!Yazdırma_Alanı</vt:lpstr>
      <vt:lpstr>'5'!Yazdırma_Alanı</vt:lpstr>
      <vt:lpstr>'6'!Yazdırma_Alanı</vt:lpstr>
      <vt:lpstr>'7'!Yazdırma_Alanı</vt:lpstr>
      <vt:lpstr>'8'!Yazdırma_Alanı</vt:lpstr>
      <vt:lpstr>'9'!Yazdırma_Alanı</vt:lpstr>
      <vt:lpstr>GRUP!Yazdırma_Alanı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Durmaz</dc:creator>
  <cp:lastModifiedBy>Mehmet Durmaz</cp:lastModifiedBy>
  <cp:lastPrinted>2016-03-01T12:05:56Z</cp:lastPrinted>
  <dcterms:created xsi:type="dcterms:W3CDTF">2006-09-16T00:00:00Z</dcterms:created>
  <dcterms:modified xsi:type="dcterms:W3CDTF">2016-09-06T11:58:59Z</dcterms:modified>
</cp:coreProperties>
</file>